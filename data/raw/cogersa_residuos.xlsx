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Usuarios\BMM\VARIOS\INFORMES\2021\Anuales\"/>
    </mc:Choice>
  </mc:AlternateContent>
  <xr:revisionPtr revIDLastSave="0" documentId="13_ncr:1_{08A56242-7E82-4AA9-95EF-04580FE783A6}" xr6:coauthVersionLast="47" xr6:coauthVersionMax="47" xr10:uidLastSave="{00000000-0000-0000-0000-000000000000}"/>
  <bookViews>
    <workbookView xWindow="-120" yWindow="-120" windowWidth="29040" windowHeight="17790" xr2:uid="{23015833-CA04-40F0-989B-72C6B7EF2FD1}"/>
  </bookViews>
  <sheets>
    <sheet name="Ayuntamientos" sheetId="4" r:id="rId1"/>
  </sheets>
  <definedNames>
    <definedName name="_xlnm._FilterDatabase" localSheetId="0" hidden="1">Ayuntamientos!$A$5:$AI$84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4" i="4" l="1"/>
  <c r="Y10" i="4" l="1"/>
  <c r="Y13" i="4"/>
  <c r="Y45" i="4"/>
  <c r="Y56" i="4"/>
  <c r="S39" i="4"/>
  <c r="S17" i="4"/>
  <c r="C84" i="4"/>
  <c r="B84" i="4"/>
  <c r="J19" i="4"/>
  <c r="G74" i="4"/>
  <c r="G41" i="4"/>
  <c r="G25" i="4"/>
  <c r="AF6" i="4"/>
  <c r="AD6" i="4" s="1"/>
  <c r="AI6" i="4" s="1"/>
  <c r="W84" i="4"/>
  <c r="T84" i="4"/>
  <c r="Q84" i="4"/>
  <c r="N84" i="4"/>
  <c r="K84" i="4"/>
  <c r="H84" i="4"/>
  <c r="E84" i="4"/>
  <c r="AA84" i="4"/>
  <c r="X84" i="4"/>
  <c r="U84" i="4"/>
  <c r="R84" i="4"/>
  <c r="O84" i="4"/>
  <c r="L84" i="4"/>
  <c r="I84" i="4"/>
  <c r="F84" i="4"/>
  <c r="AF83" i="4"/>
  <c r="AD83" i="4" s="1"/>
  <c r="AI83" i="4" s="1"/>
  <c r="AE83" i="4"/>
  <c r="AC83" i="4" s="1"/>
  <c r="AH83" i="4" s="1"/>
  <c r="V83" i="4"/>
  <c r="P83" i="4"/>
  <c r="M83" i="4"/>
  <c r="J83" i="4"/>
  <c r="D83" i="4"/>
  <c r="AF82" i="4"/>
  <c r="AD82" i="4" s="1"/>
  <c r="AI82" i="4" s="1"/>
  <c r="AE82" i="4"/>
  <c r="AC82" i="4" s="1"/>
  <c r="AH82" i="4" s="1"/>
  <c r="AB82" i="4"/>
  <c r="V82" i="4"/>
  <c r="P82" i="4"/>
  <c r="M82" i="4"/>
  <c r="J82" i="4"/>
  <c r="D82" i="4"/>
  <c r="AF81" i="4"/>
  <c r="AD81" i="4" s="1"/>
  <c r="AI81" i="4" s="1"/>
  <c r="AE81" i="4"/>
  <c r="AC81" i="4" s="1"/>
  <c r="AH81" i="4" s="1"/>
  <c r="AB81" i="4"/>
  <c r="Y81" i="4"/>
  <c r="V81" i="4"/>
  <c r="S81" i="4"/>
  <c r="P81" i="4"/>
  <c r="M81" i="4"/>
  <c r="J81" i="4"/>
  <c r="D81" i="4"/>
  <c r="AF80" i="4"/>
  <c r="AE80" i="4"/>
  <c r="AC80" i="4" s="1"/>
  <c r="AH80" i="4" s="1"/>
  <c r="AB80" i="4"/>
  <c r="P80" i="4"/>
  <c r="M80" i="4"/>
  <c r="J80" i="4"/>
  <c r="D80" i="4"/>
  <c r="AF79" i="4"/>
  <c r="AD79" i="4" s="1"/>
  <c r="AI79" i="4" s="1"/>
  <c r="AE79" i="4"/>
  <c r="AC79" i="4" s="1"/>
  <c r="AH79" i="4" s="1"/>
  <c r="AB79" i="4"/>
  <c r="Y79" i="4"/>
  <c r="V79" i="4"/>
  <c r="S79" i="4"/>
  <c r="P79" i="4"/>
  <c r="M79" i="4"/>
  <c r="J79" i="4"/>
  <c r="D79" i="4"/>
  <c r="AF78" i="4"/>
  <c r="AD78" i="4" s="1"/>
  <c r="AI78" i="4" s="1"/>
  <c r="AE78" i="4"/>
  <c r="AC78" i="4" s="1"/>
  <c r="AH78" i="4" s="1"/>
  <c r="AB78" i="4"/>
  <c r="Y78" i="4"/>
  <c r="V78" i="4"/>
  <c r="P78" i="4"/>
  <c r="M78" i="4"/>
  <c r="J78" i="4"/>
  <c r="D78" i="4"/>
  <c r="AF77" i="4"/>
  <c r="AE77" i="4"/>
  <c r="AC77" i="4" s="1"/>
  <c r="AH77" i="4" s="1"/>
  <c r="AB77" i="4"/>
  <c r="Y77" i="4"/>
  <c r="V77" i="4"/>
  <c r="S77" i="4"/>
  <c r="P77" i="4"/>
  <c r="M77" i="4"/>
  <c r="J77" i="4"/>
  <c r="D77" i="4"/>
  <c r="AF76" i="4"/>
  <c r="AD76" i="4" s="1"/>
  <c r="AI76" i="4" s="1"/>
  <c r="AE76" i="4"/>
  <c r="AC76" i="4" s="1"/>
  <c r="AH76" i="4" s="1"/>
  <c r="AB76" i="4"/>
  <c r="V76" i="4"/>
  <c r="P76" i="4"/>
  <c r="M76" i="4"/>
  <c r="J76" i="4"/>
  <c r="D76" i="4"/>
  <c r="AF75" i="4"/>
  <c r="AD75" i="4" s="1"/>
  <c r="AI75" i="4" s="1"/>
  <c r="AE75" i="4"/>
  <c r="AB75" i="4"/>
  <c r="V75" i="4"/>
  <c r="P75" i="4"/>
  <c r="M75" i="4"/>
  <c r="J75" i="4"/>
  <c r="D75" i="4"/>
  <c r="AF74" i="4"/>
  <c r="AD74" i="4" s="1"/>
  <c r="AI74" i="4" s="1"/>
  <c r="AE74" i="4"/>
  <c r="AC74" i="4" s="1"/>
  <c r="AH74" i="4" s="1"/>
  <c r="AB74" i="4"/>
  <c r="Y74" i="4"/>
  <c r="V74" i="4"/>
  <c r="S74" i="4"/>
  <c r="P74" i="4"/>
  <c r="M74" i="4"/>
  <c r="J74" i="4"/>
  <c r="D74" i="4"/>
  <c r="AF73" i="4"/>
  <c r="AD73" i="4" s="1"/>
  <c r="AI73" i="4" s="1"/>
  <c r="AE73" i="4"/>
  <c r="AC73" i="4" s="1"/>
  <c r="AH73" i="4" s="1"/>
  <c r="AB73" i="4"/>
  <c r="Y73" i="4"/>
  <c r="V73" i="4"/>
  <c r="S73" i="4"/>
  <c r="P73" i="4"/>
  <c r="M73" i="4"/>
  <c r="J73" i="4"/>
  <c r="D73" i="4"/>
  <c r="AF72" i="4"/>
  <c r="AD72" i="4" s="1"/>
  <c r="AI72" i="4" s="1"/>
  <c r="AE72" i="4"/>
  <c r="AC72" i="4" s="1"/>
  <c r="AH72" i="4" s="1"/>
  <c r="AB72" i="4"/>
  <c r="Y72" i="4"/>
  <c r="V72" i="4"/>
  <c r="P72" i="4"/>
  <c r="M72" i="4"/>
  <c r="J72" i="4"/>
  <c r="D72" i="4"/>
  <c r="AF71" i="4"/>
  <c r="AE71" i="4"/>
  <c r="AC71" i="4" s="1"/>
  <c r="AH71" i="4" s="1"/>
  <c r="AB71" i="4"/>
  <c r="Y71" i="4"/>
  <c r="V71" i="4"/>
  <c r="P71" i="4"/>
  <c r="M71" i="4"/>
  <c r="J71" i="4"/>
  <c r="G71" i="4"/>
  <c r="D71" i="4"/>
  <c r="AF70" i="4"/>
  <c r="AD70" i="4" s="1"/>
  <c r="AI70" i="4" s="1"/>
  <c r="AE70" i="4"/>
  <c r="AC70" i="4" s="1"/>
  <c r="AH70" i="4" s="1"/>
  <c r="AB70" i="4"/>
  <c r="Y70" i="4"/>
  <c r="V70" i="4"/>
  <c r="S70" i="4"/>
  <c r="P70" i="4"/>
  <c r="M70" i="4"/>
  <c r="J70" i="4"/>
  <c r="D70" i="4"/>
  <c r="AF69" i="4"/>
  <c r="AE69" i="4"/>
  <c r="AC69" i="4" s="1"/>
  <c r="AH69" i="4" s="1"/>
  <c r="AB69" i="4"/>
  <c r="Y69" i="4"/>
  <c r="V69" i="4"/>
  <c r="S69" i="4"/>
  <c r="P69" i="4"/>
  <c r="M69" i="4"/>
  <c r="J69" i="4"/>
  <c r="D69" i="4"/>
  <c r="AF68" i="4"/>
  <c r="AD68" i="4" s="1"/>
  <c r="AI68" i="4" s="1"/>
  <c r="AE68" i="4"/>
  <c r="AC68" i="4" s="1"/>
  <c r="AH68" i="4" s="1"/>
  <c r="AB68" i="4"/>
  <c r="P68" i="4"/>
  <c r="M68" i="4"/>
  <c r="J68" i="4"/>
  <c r="D68" i="4"/>
  <c r="AF67" i="4"/>
  <c r="AD67" i="4" s="1"/>
  <c r="AI67" i="4" s="1"/>
  <c r="AE67" i="4"/>
  <c r="AC67" i="4" s="1"/>
  <c r="AH67" i="4" s="1"/>
  <c r="AB67" i="4"/>
  <c r="P67" i="4"/>
  <c r="M67" i="4"/>
  <c r="J67" i="4"/>
  <c r="D67" i="4"/>
  <c r="AF66" i="4"/>
  <c r="AD66" i="4" s="1"/>
  <c r="AI66" i="4" s="1"/>
  <c r="AE66" i="4"/>
  <c r="AC66" i="4" s="1"/>
  <c r="AH66" i="4" s="1"/>
  <c r="AB66" i="4"/>
  <c r="P66" i="4"/>
  <c r="M66" i="4"/>
  <c r="J66" i="4"/>
  <c r="D66" i="4"/>
  <c r="AF65" i="4"/>
  <c r="AD65" i="4" s="1"/>
  <c r="AI65" i="4" s="1"/>
  <c r="AE65" i="4"/>
  <c r="AC65" i="4" s="1"/>
  <c r="AH65" i="4" s="1"/>
  <c r="AB65" i="4"/>
  <c r="P65" i="4"/>
  <c r="M65" i="4"/>
  <c r="J65" i="4"/>
  <c r="D65" i="4"/>
  <c r="AF64" i="4"/>
  <c r="AD64" i="4" s="1"/>
  <c r="AI64" i="4" s="1"/>
  <c r="AE64" i="4"/>
  <c r="AC64" i="4" s="1"/>
  <c r="AH64" i="4" s="1"/>
  <c r="AB64" i="4"/>
  <c r="Y64" i="4"/>
  <c r="V64" i="4"/>
  <c r="S64" i="4"/>
  <c r="P64" i="4"/>
  <c r="M64" i="4"/>
  <c r="J64" i="4"/>
  <c r="D64" i="4"/>
  <c r="AF63" i="4"/>
  <c r="AD63" i="4" s="1"/>
  <c r="AI63" i="4" s="1"/>
  <c r="AE63" i="4"/>
  <c r="AC63" i="4" s="1"/>
  <c r="AH63" i="4" s="1"/>
  <c r="AB63" i="4"/>
  <c r="Y63" i="4"/>
  <c r="V63" i="4"/>
  <c r="S63" i="4"/>
  <c r="P63" i="4"/>
  <c r="M63" i="4"/>
  <c r="J63" i="4"/>
  <c r="D63" i="4"/>
  <c r="AF62" i="4"/>
  <c r="AE62" i="4"/>
  <c r="AC62" i="4" s="1"/>
  <c r="AH62" i="4" s="1"/>
  <c r="Y62" i="4"/>
  <c r="V62" i="4"/>
  <c r="P62" i="4"/>
  <c r="M62" i="4"/>
  <c r="J62" i="4"/>
  <c r="D62" i="4"/>
  <c r="AF61" i="4"/>
  <c r="AE61" i="4"/>
  <c r="AC61" i="4" s="1"/>
  <c r="AH61" i="4" s="1"/>
  <c r="AB61" i="4"/>
  <c r="P61" i="4"/>
  <c r="M61" i="4"/>
  <c r="J61" i="4"/>
  <c r="D61" i="4"/>
  <c r="AF60" i="4"/>
  <c r="AD60" i="4" s="1"/>
  <c r="AI60" i="4" s="1"/>
  <c r="AE60" i="4"/>
  <c r="AC60" i="4" s="1"/>
  <c r="AH60" i="4" s="1"/>
  <c r="AB60" i="4"/>
  <c r="Y60" i="4"/>
  <c r="V60" i="4"/>
  <c r="S60" i="4"/>
  <c r="P60" i="4"/>
  <c r="M60" i="4"/>
  <c r="J60" i="4"/>
  <c r="D60" i="4"/>
  <c r="AF59" i="4"/>
  <c r="AD59" i="4" s="1"/>
  <c r="AI59" i="4" s="1"/>
  <c r="AE59" i="4"/>
  <c r="AC59" i="4" s="1"/>
  <c r="AH59" i="4" s="1"/>
  <c r="AB59" i="4"/>
  <c r="Y59" i="4"/>
  <c r="V59" i="4"/>
  <c r="S59" i="4"/>
  <c r="P59" i="4"/>
  <c r="M59" i="4"/>
  <c r="J59" i="4"/>
  <c r="D59" i="4"/>
  <c r="AF58" i="4"/>
  <c r="AD58" i="4" s="1"/>
  <c r="AI58" i="4" s="1"/>
  <c r="AE58" i="4"/>
  <c r="AC58" i="4" s="1"/>
  <c r="AH58" i="4" s="1"/>
  <c r="AB58" i="4"/>
  <c r="V58" i="4"/>
  <c r="P58" i="4"/>
  <c r="M58" i="4"/>
  <c r="J58" i="4"/>
  <c r="D58" i="4"/>
  <c r="AF57" i="4"/>
  <c r="AD57" i="4" s="1"/>
  <c r="AI57" i="4" s="1"/>
  <c r="AE57" i="4"/>
  <c r="AC57" i="4" s="1"/>
  <c r="AH57" i="4" s="1"/>
  <c r="AB57" i="4"/>
  <c r="Y57" i="4"/>
  <c r="P57" i="4"/>
  <c r="M57" i="4"/>
  <c r="J57" i="4"/>
  <c r="D57" i="4"/>
  <c r="AF56" i="4"/>
  <c r="AD56" i="4" s="1"/>
  <c r="AI56" i="4" s="1"/>
  <c r="AE56" i="4"/>
  <c r="AC56" i="4" s="1"/>
  <c r="AH56" i="4" s="1"/>
  <c r="AB56" i="4"/>
  <c r="V56" i="4"/>
  <c r="S56" i="4"/>
  <c r="P56" i="4"/>
  <c r="M56" i="4"/>
  <c r="J56" i="4"/>
  <c r="D56" i="4"/>
  <c r="AF55" i="4"/>
  <c r="AD55" i="4" s="1"/>
  <c r="AI55" i="4" s="1"/>
  <c r="AE55" i="4"/>
  <c r="AC55" i="4" s="1"/>
  <c r="AH55" i="4" s="1"/>
  <c r="AB55" i="4"/>
  <c r="V55" i="4"/>
  <c r="P55" i="4"/>
  <c r="M55" i="4"/>
  <c r="J55" i="4"/>
  <c r="D55" i="4"/>
  <c r="AF54" i="4"/>
  <c r="AE54" i="4"/>
  <c r="AC54" i="4" s="1"/>
  <c r="AH54" i="4" s="1"/>
  <c r="AB54" i="4"/>
  <c r="Y54" i="4"/>
  <c r="V54" i="4"/>
  <c r="S54" i="4"/>
  <c r="P54" i="4"/>
  <c r="M54" i="4"/>
  <c r="J54" i="4"/>
  <c r="D54" i="4"/>
  <c r="AF53" i="4"/>
  <c r="AD53" i="4" s="1"/>
  <c r="AI53" i="4" s="1"/>
  <c r="AE53" i="4"/>
  <c r="AC53" i="4" s="1"/>
  <c r="AH53" i="4" s="1"/>
  <c r="AB53" i="4"/>
  <c r="V53" i="4"/>
  <c r="P53" i="4"/>
  <c r="M53" i="4"/>
  <c r="J53" i="4"/>
  <c r="D53" i="4"/>
  <c r="AF52" i="4"/>
  <c r="AD52" i="4" s="1"/>
  <c r="AI52" i="4" s="1"/>
  <c r="AE52" i="4"/>
  <c r="AC52" i="4" s="1"/>
  <c r="AH52" i="4" s="1"/>
  <c r="AB52" i="4"/>
  <c r="Y52" i="4"/>
  <c r="V52" i="4"/>
  <c r="S52" i="4"/>
  <c r="P52" i="4"/>
  <c r="M52" i="4"/>
  <c r="J52" i="4"/>
  <c r="D52" i="4"/>
  <c r="AF51" i="4"/>
  <c r="AE51" i="4"/>
  <c r="AC51" i="4" s="1"/>
  <c r="AH51" i="4" s="1"/>
  <c r="AB51" i="4"/>
  <c r="Y51" i="4"/>
  <c r="V51" i="4"/>
  <c r="S51" i="4"/>
  <c r="P51" i="4"/>
  <c r="M51" i="4"/>
  <c r="J51" i="4"/>
  <c r="D51" i="4"/>
  <c r="AF50" i="4"/>
  <c r="AD50" i="4" s="1"/>
  <c r="AI50" i="4" s="1"/>
  <c r="AE50" i="4"/>
  <c r="AC50" i="4" s="1"/>
  <c r="AH50" i="4" s="1"/>
  <c r="AB50" i="4"/>
  <c r="Y50" i="4"/>
  <c r="V50" i="4"/>
  <c r="P50" i="4"/>
  <c r="M50" i="4"/>
  <c r="J50" i="4"/>
  <c r="D50" i="4"/>
  <c r="AF49" i="4"/>
  <c r="AD49" i="4" s="1"/>
  <c r="AI49" i="4" s="1"/>
  <c r="AE49" i="4"/>
  <c r="AC49" i="4" s="1"/>
  <c r="AH49" i="4" s="1"/>
  <c r="AB49" i="4"/>
  <c r="Y49" i="4"/>
  <c r="V49" i="4"/>
  <c r="S49" i="4"/>
  <c r="P49" i="4"/>
  <c r="M49" i="4"/>
  <c r="J49" i="4"/>
  <c r="G49" i="4"/>
  <c r="D49" i="4"/>
  <c r="AF48" i="4"/>
  <c r="AE48" i="4"/>
  <c r="AC48" i="4" s="1"/>
  <c r="AH48" i="4" s="1"/>
  <c r="AB48" i="4"/>
  <c r="V48" i="4"/>
  <c r="P48" i="4"/>
  <c r="M48" i="4"/>
  <c r="J48" i="4"/>
  <c r="D48" i="4"/>
  <c r="AF47" i="4"/>
  <c r="AD47" i="4" s="1"/>
  <c r="AI47" i="4" s="1"/>
  <c r="AE47" i="4"/>
  <c r="AC47" i="4" s="1"/>
  <c r="AH47" i="4" s="1"/>
  <c r="Y47" i="4"/>
  <c r="V47" i="4"/>
  <c r="P47" i="4"/>
  <c r="M47" i="4"/>
  <c r="J47" i="4"/>
  <c r="G47" i="4"/>
  <c r="D47" i="4"/>
  <c r="AF46" i="4"/>
  <c r="AD46" i="4" s="1"/>
  <c r="AI46" i="4" s="1"/>
  <c r="AE46" i="4"/>
  <c r="AC46" i="4" s="1"/>
  <c r="AH46" i="4" s="1"/>
  <c r="AB46" i="4"/>
  <c r="Y46" i="4"/>
  <c r="V46" i="4"/>
  <c r="S46" i="4"/>
  <c r="P46" i="4"/>
  <c r="M46" i="4"/>
  <c r="J46" i="4"/>
  <c r="D46" i="4"/>
  <c r="AF45" i="4"/>
  <c r="AD45" i="4" s="1"/>
  <c r="AI45" i="4" s="1"/>
  <c r="AE45" i="4"/>
  <c r="AC45" i="4" s="1"/>
  <c r="AH45" i="4" s="1"/>
  <c r="AB45" i="4"/>
  <c r="P45" i="4"/>
  <c r="M45" i="4"/>
  <c r="J45" i="4"/>
  <c r="D45" i="4"/>
  <c r="AF44" i="4"/>
  <c r="AD44" i="4" s="1"/>
  <c r="AI44" i="4" s="1"/>
  <c r="AE44" i="4"/>
  <c r="AC44" i="4" s="1"/>
  <c r="AH44" i="4" s="1"/>
  <c r="AB44" i="4"/>
  <c r="Y44" i="4"/>
  <c r="V44" i="4"/>
  <c r="S44" i="4"/>
  <c r="P44" i="4"/>
  <c r="M44" i="4"/>
  <c r="J44" i="4"/>
  <c r="D44" i="4"/>
  <c r="AF43" i="4"/>
  <c r="AE43" i="4"/>
  <c r="AC43" i="4" s="1"/>
  <c r="AH43" i="4" s="1"/>
  <c r="AB43" i="4"/>
  <c r="Y43" i="4"/>
  <c r="V43" i="4"/>
  <c r="S43" i="4"/>
  <c r="P43" i="4"/>
  <c r="M43" i="4"/>
  <c r="J43" i="4"/>
  <c r="D43" i="4"/>
  <c r="AF42" i="4"/>
  <c r="AD42" i="4" s="1"/>
  <c r="AI42" i="4" s="1"/>
  <c r="AE42" i="4"/>
  <c r="AC42" i="4" s="1"/>
  <c r="AH42" i="4" s="1"/>
  <c r="AB42" i="4"/>
  <c r="Y42" i="4"/>
  <c r="V42" i="4"/>
  <c r="S42" i="4"/>
  <c r="P42" i="4"/>
  <c r="M42" i="4"/>
  <c r="J42" i="4"/>
  <c r="G42" i="4"/>
  <c r="D42" i="4"/>
  <c r="AF41" i="4"/>
  <c r="AE41" i="4"/>
  <c r="AC41" i="4" s="1"/>
  <c r="AH41" i="4" s="1"/>
  <c r="AB41" i="4"/>
  <c r="Y41" i="4"/>
  <c r="V41" i="4"/>
  <c r="S41" i="4"/>
  <c r="P41" i="4"/>
  <c r="M41" i="4"/>
  <c r="J41" i="4"/>
  <c r="D41" i="4"/>
  <c r="AF40" i="4"/>
  <c r="AD40" i="4" s="1"/>
  <c r="AI40" i="4" s="1"/>
  <c r="AE40" i="4"/>
  <c r="AC40" i="4" s="1"/>
  <c r="AH40" i="4" s="1"/>
  <c r="AB40" i="4"/>
  <c r="Y40" i="4"/>
  <c r="V40" i="4"/>
  <c r="S40" i="4"/>
  <c r="P40" i="4"/>
  <c r="M40" i="4"/>
  <c r="J40" i="4"/>
  <c r="G40" i="4"/>
  <c r="D40" i="4"/>
  <c r="AF39" i="4"/>
  <c r="AD39" i="4" s="1"/>
  <c r="AI39" i="4" s="1"/>
  <c r="AE39" i="4"/>
  <c r="AC39" i="4" s="1"/>
  <c r="AH39" i="4" s="1"/>
  <c r="AB39" i="4"/>
  <c r="Y39" i="4"/>
  <c r="V39" i="4"/>
  <c r="P39" i="4"/>
  <c r="M39" i="4"/>
  <c r="J39" i="4"/>
  <c r="D39" i="4"/>
  <c r="AF38" i="4"/>
  <c r="AD38" i="4" s="1"/>
  <c r="AI38" i="4" s="1"/>
  <c r="AE38" i="4"/>
  <c r="AC38" i="4" s="1"/>
  <c r="AH38" i="4" s="1"/>
  <c r="AB38" i="4"/>
  <c r="Y38" i="4"/>
  <c r="V38" i="4"/>
  <c r="P38" i="4"/>
  <c r="M38" i="4"/>
  <c r="J38" i="4"/>
  <c r="D38" i="4"/>
  <c r="AF37" i="4"/>
  <c r="AE37" i="4"/>
  <c r="AC37" i="4" s="1"/>
  <c r="AH37" i="4" s="1"/>
  <c r="AB37" i="4"/>
  <c r="Y37" i="4"/>
  <c r="V37" i="4"/>
  <c r="S37" i="4"/>
  <c r="P37" i="4"/>
  <c r="M37" i="4"/>
  <c r="J37" i="4"/>
  <c r="D37" i="4"/>
  <c r="AF36" i="4"/>
  <c r="AD36" i="4" s="1"/>
  <c r="AI36" i="4" s="1"/>
  <c r="AE36" i="4"/>
  <c r="AC36" i="4" s="1"/>
  <c r="AH36" i="4" s="1"/>
  <c r="AB36" i="4"/>
  <c r="Y36" i="4"/>
  <c r="V36" i="4"/>
  <c r="S36" i="4"/>
  <c r="P36" i="4"/>
  <c r="M36" i="4"/>
  <c r="J36" i="4"/>
  <c r="G36" i="4"/>
  <c r="D36" i="4"/>
  <c r="AF35" i="4"/>
  <c r="AD35" i="4" s="1"/>
  <c r="AI35" i="4" s="1"/>
  <c r="AE35" i="4"/>
  <c r="AC35" i="4" s="1"/>
  <c r="AH35" i="4" s="1"/>
  <c r="AB35" i="4"/>
  <c r="P35" i="4"/>
  <c r="M35" i="4"/>
  <c r="J35" i="4"/>
  <c r="D35" i="4"/>
  <c r="AF34" i="4"/>
  <c r="AD34" i="4" s="1"/>
  <c r="AI34" i="4" s="1"/>
  <c r="AE34" i="4"/>
  <c r="AC34" i="4" s="1"/>
  <c r="AH34" i="4" s="1"/>
  <c r="AB34" i="4"/>
  <c r="P34" i="4"/>
  <c r="M34" i="4"/>
  <c r="J34" i="4"/>
  <c r="D34" i="4"/>
  <c r="AF33" i="4"/>
  <c r="AD33" i="4" s="1"/>
  <c r="AI33" i="4" s="1"/>
  <c r="AE33" i="4"/>
  <c r="AC33" i="4" s="1"/>
  <c r="AH33" i="4" s="1"/>
  <c r="AB33" i="4"/>
  <c r="V33" i="4"/>
  <c r="P33" i="4"/>
  <c r="M33" i="4"/>
  <c r="J33" i="4"/>
  <c r="D33" i="4"/>
  <c r="AF32" i="4"/>
  <c r="AD32" i="4" s="1"/>
  <c r="AI32" i="4" s="1"/>
  <c r="AE32" i="4"/>
  <c r="AC32" i="4" s="1"/>
  <c r="AH32" i="4" s="1"/>
  <c r="AB32" i="4"/>
  <c r="V32" i="4"/>
  <c r="P32" i="4"/>
  <c r="M32" i="4"/>
  <c r="J32" i="4"/>
  <c r="D32" i="4"/>
  <c r="AF31" i="4"/>
  <c r="AD31" i="4" s="1"/>
  <c r="AI31" i="4" s="1"/>
  <c r="AE31" i="4"/>
  <c r="AC31" i="4" s="1"/>
  <c r="AH31" i="4" s="1"/>
  <c r="AB31" i="4"/>
  <c r="Y31" i="4"/>
  <c r="V31" i="4"/>
  <c r="S31" i="4"/>
  <c r="P31" i="4"/>
  <c r="M31" i="4"/>
  <c r="J31" i="4"/>
  <c r="G31" i="4"/>
  <c r="D31" i="4"/>
  <c r="AF30" i="4"/>
  <c r="AD30" i="4" s="1"/>
  <c r="AI30" i="4" s="1"/>
  <c r="AE30" i="4"/>
  <c r="AC30" i="4" s="1"/>
  <c r="AH30" i="4" s="1"/>
  <c r="AB30" i="4"/>
  <c r="V30" i="4"/>
  <c r="P30" i="4"/>
  <c r="M30" i="4"/>
  <c r="J30" i="4"/>
  <c r="D30" i="4"/>
  <c r="AF29" i="4"/>
  <c r="AE29" i="4"/>
  <c r="AC29" i="4" s="1"/>
  <c r="AH29" i="4" s="1"/>
  <c r="AB29" i="4"/>
  <c r="Y29" i="4"/>
  <c r="V29" i="4"/>
  <c r="S29" i="4"/>
  <c r="P29" i="4"/>
  <c r="M29" i="4"/>
  <c r="J29" i="4"/>
  <c r="G29" i="4"/>
  <c r="D29" i="4"/>
  <c r="AF28" i="4"/>
  <c r="AE28" i="4"/>
  <c r="AC28" i="4" s="1"/>
  <c r="AH28" i="4" s="1"/>
  <c r="AB28" i="4"/>
  <c r="Y28" i="4"/>
  <c r="V28" i="4"/>
  <c r="S28" i="4"/>
  <c r="P28" i="4"/>
  <c r="M28" i="4"/>
  <c r="J28" i="4"/>
  <c r="D28" i="4"/>
  <c r="AF27" i="4"/>
  <c r="AD27" i="4" s="1"/>
  <c r="AI27" i="4" s="1"/>
  <c r="AE27" i="4"/>
  <c r="AC27" i="4" s="1"/>
  <c r="AH27" i="4" s="1"/>
  <c r="AB27" i="4"/>
  <c r="P27" i="4"/>
  <c r="M27" i="4"/>
  <c r="J27" i="4"/>
  <c r="D27" i="4"/>
  <c r="AF26" i="4"/>
  <c r="AD26" i="4" s="1"/>
  <c r="AI26" i="4" s="1"/>
  <c r="AE26" i="4"/>
  <c r="AC26" i="4" s="1"/>
  <c r="AH26" i="4" s="1"/>
  <c r="AB26" i="4"/>
  <c r="Y26" i="4"/>
  <c r="V26" i="4"/>
  <c r="S26" i="4"/>
  <c r="P26" i="4"/>
  <c r="M26" i="4"/>
  <c r="J26" i="4"/>
  <c r="D26" i="4"/>
  <c r="AF25" i="4"/>
  <c r="AD25" i="4" s="1"/>
  <c r="AI25" i="4" s="1"/>
  <c r="AE25" i="4"/>
  <c r="AC25" i="4" s="1"/>
  <c r="AH25" i="4" s="1"/>
  <c r="AB25" i="4"/>
  <c r="Y25" i="4"/>
  <c r="V25" i="4"/>
  <c r="S25" i="4"/>
  <c r="P25" i="4"/>
  <c r="M25" i="4"/>
  <c r="J25" i="4"/>
  <c r="D25" i="4"/>
  <c r="AF24" i="4"/>
  <c r="AD24" i="4" s="1"/>
  <c r="AI24" i="4" s="1"/>
  <c r="AE24" i="4"/>
  <c r="AC24" i="4" s="1"/>
  <c r="AH24" i="4" s="1"/>
  <c r="AB24" i="4"/>
  <c r="Y24" i="4"/>
  <c r="V24" i="4"/>
  <c r="S24" i="4"/>
  <c r="P24" i="4"/>
  <c r="M24" i="4"/>
  <c r="J24" i="4"/>
  <c r="D24" i="4"/>
  <c r="AF23" i="4"/>
  <c r="AD23" i="4" s="1"/>
  <c r="AI23" i="4" s="1"/>
  <c r="AE23" i="4"/>
  <c r="AC23" i="4" s="1"/>
  <c r="AH23" i="4" s="1"/>
  <c r="AB23" i="4"/>
  <c r="Y23" i="4"/>
  <c r="V23" i="4"/>
  <c r="S23" i="4"/>
  <c r="P23" i="4"/>
  <c r="M23" i="4"/>
  <c r="J23" i="4"/>
  <c r="D23" i="4"/>
  <c r="AF22" i="4"/>
  <c r="AD22" i="4" s="1"/>
  <c r="AI22" i="4" s="1"/>
  <c r="AE22" i="4"/>
  <c r="AC22" i="4" s="1"/>
  <c r="AH22" i="4" s="1"/>
  <c r="AB22" i="4"/>
  <c r="Y22" i="4"/>
  <c r="V22" i="4"/>
  <c r="S22" i="4"/>
  <c r="P22" i="4"/>
  <c r="M22" i="4"/>
  <c r="J22" i="4"/>
  <c r="G22" i="4"/>
  <c r="D22" i="4"/>
  <c r="AF21" i="4"/>
  <c r="AE21" i="4"/>
  <c r="AC21" i="4" s="1"/>
  <c r="AH21" i="4" s="1"/>
  <c r="AB21" i="4"/>
  <c r="Y21" i="4"/>
  <c r="V21" i="4"/>
  <c r="S21" i="4"/>
  <c r="P21" i="4"/>
  <c r="M21" i="4"/>
  <c r="J21" i="4"/>
  <c r="G21" i="4"/>
  <c r="D21" i="4"/>
  <c r="AF20" i="4"/>
  <c r="AE20" i="4"/>
  <c r="AC20" i="4" s="1"/>
  <c r="AH20" i="4" s="1"/>
  <c r="AB20" i="4"/>
  <c r="V20" i="4"/>
  <c r="P20" i="4"/>
  <c r="M20" i="4"/>
  <c r="J20" i="4"/>
  <c r="D20" i="4"/>
  <c r="AF19" i="4"/>
  <c r="AD19" i="4" s="1"/>
  <c r="AI19" i="4" s="1"/>
  <c r="AE19" i="4"/>
  <c r="AC19" i="4" s="1"/>
  <c r="AH19" i="4" s="1"/>
  <c r="AB19" i="4"/>
  <c r="Y19" i="4"/>
  <c r="V19" i="4"/>
  <c r="S19" i="4"/>
  <c r="P19" i="4"/>
  <c r="M19" i="4"/>
  <c r="G19" i="4"/>
  <c r="D19" i="4"/>
  <c r="AF18" i="4"/>
  <c r="AE18" i="4"/>
  <c r="AC18" i="4" s="1"/>
  <c r="AH18" i="4" s="1"/>
  <c r="AB18" i="4"/>
  <c r="Y18" i="4"/>
  <c r="V18" i="4"/>
  <c r="S18" i="4"/>
  <c r="P18" i="4"/>
  <c r="M18" i="4"/>
  <c r="J18" i="4"/>
  <c r="D18" i="4"/>
  <c r="AF17" i="4"/>
  <c r="AD17" i="4" s="1"/>
  <c r="AI17" i="4" s="1"/>
  <c r="AE17" i="4"/>
  <c r="AC17" i="4" s="1"/>
  <c r="AH17" i="4" s="1"/>
  <c r="AB17" i="4"/>
  <c r="Y17" i="4"/>
  <c r="V17" i="4"/>
  <c r="P17" i="4"/>
  <c r="M17" i="4"/>
  <c r="J17" i="4"/>
  <c r="D17" i="4"/>
  <c r="AF16" i="4"/>
  <c r="AE16" i="4"/>
  <c r="AC16" i="4" s="1"/>
  <c r="AH16" i="4" s="1"/>
  <c r="AB16" i="4"/>
  <c r="V16" i="4"/>
  <c r="P16" i="4"/>
  <c r="M16" i="4"/>
  <c r="J16" i="4"/>
  <c r="D16" i="4"/>
  <c r="AF15" i="4"/>
  <c r="AD15" i="4" s="1"/>
  <c r="AI15" i="4" s="1"/>
  <c r="AE15" i="4"/>
  <c r="AC15" i="4" s="1"/>
  <c r="AH15" i="4" s="1"/>
  <c r="AB15" i="4"/>
  <c r="V15" i="4"/>
  <c r="P15" i="4"/>
  <c r="M15" i="4"/>
  <c r="J15" i="4"/>
  <c r="D15" i="4"/>
  <c r="AF14" i="4"/>
  <c r="AD14" i="4" s="1"/>
  <c r="AI14" i="4" s="1"/>
  <c r="AE14" i="4"/>
  <c r="AC14" i="4" s="1"/>
  <c r="AH14" i="4" s="1"/>
  <c r="AB14" i="4"/>
  <c r="P14" i="4"/>
  <c r="M14" i="4"/>
  <c r="J14" i="4"/>
  <c r="D14" i="4"/>
  <c r="AF13" i="4"/>
  <c r="AD13" i="4" s="1"/>
  <c r="AI13" i="4" s="1"/>
  <c r="AE13" i="4"/>
  <c r="AC13" i="4" s="1"/>
  <c r="AH13" i="4" s="1"/>
  <c r="AB13" i="4"/>
  <c r="V13" i="4"/>
  <c r="P13" i="4"/>
  <c r="M13" i="4"/>
  <c r="J13" i="4"/>
  <c r="D13" i="4"/>
  <c r="AF12" i="4"/>
  <c r="AD12" i="4" s="1"/>
  <c r="AI12" i="4" s="1"/>
  <c r="AE12" i="4"/>
  <c r="AC12" i="4" s="1"/>
  <c r="AH12" i="4" s="1"/>
  <c r="AB12" i="4"/>
  <c r="V12" i="4"/>
  <c r="P12" i="4"/>
  <c r="M12" i="4"/>
  <c r="J12" i="4"/>
  <c r="D12" i="4"/>
  <c r="AF11" i="4"/>
  <c r="AD11" i="4" s="1"/>
  <c r="AI11" i="4" s="1"/>
  <c r="AE11" i="4"/>
  <c r="AC11" i="4" s="1"/>
  <c r="AH11" i="4" s="1"/>
  <c r="AB11" i="4"/>
  <c r="V11" i="4"/>
  <c r="P11" i="4"/>
  <c r="M11" i="4"/>
  <c r="J11" i="4"/>
  <c r="D11" i="4"/>
  <c r="AF10" i="4"/>
  <c r="AD10" i="4" s="1"/>
  <c r="AI10" i="4" s="1"/>
  <c r="AE10" i="4"/>
  <c r="AC10" i="4" s="1"/>
  <c r="AH10" i="4" s="1"/>
  <c r="AB10" i="4"/>
  <c r="V10" i="4"/>
  <c r="P10" i="4"/>
  <c r="M10" i="4"/>
  <c r="J10" i="4"/>
  <c r="D10" i="4"/>
  <c r="AF9" i="4"/>
  <c r="AD9" i="4" s="1"/>
  <c r="AI9" i="4" s="1"/>
  <c r="AE9" i="4"/>
  <c r="AC9" i="4" s="1"/>
  <c r="AH9" i="4" s="1"/>
  <c r="AB9" i="4"/>
  <c r="Y9" i="4"/>
  <c r="V9" i="4"/>
  <c r="S9" i="4"/>
  <c r="P9" i="4"/>
  <c r="M9" i="4"/>
  <c r="J9" i="4"/>
  <c r="G9" i="4"/>
  <c r="D9" i="4"/>
  <c r="AF8" i="4"/>
  <c r="AD8" i="4" s="1"/>
  <c r="AI8" i="4" s="1"/>
  <c r="AE8" i="4"/>
  <c r="AC8" i="4" s="1"/>
  <c r="AH8" i="4" s="1"/>
  <c r="AB8" i="4"/>
  <c r="V8" i="4"/>
  <c r="P8" i="4"/>
  <c r="M8" i="4"/>
  <c r="J8" i="4"/>
  <c r="D8" i="4"/>
  <c r="AF7" i="4"/>
  <c r="AD7" i="4" s="1"/>
  <c r="AI7" i="4" s="1"/>
  <c r="AE7" i="4"/>
  <c r="AC7" i="4" s="1"/>
  <c r="AH7" i="4" s="1"/>
  <c r="AB7" i="4"/>
  <c r="Y7" i="4"/>
  <c r="V7" i="4"/>
  <c r="S7" i="4"/>
  <c r="P7" i="4"/>
  <c r="M7" i="4"/>
  <c r="J7" i="4"/>
  <c r="D7" i="4"/>
  <c r="AE6" i="4"/>
  <c r="AB6" i="4"/>
  <c r="V6" i="4"/>
  <c r="P6" i="4"/>
  <c r="M6" i="4"/>
  <c r="J6" i="4"/>
  <c r="D6" i="4"/>
  <c r="AC6" i="4" l="1"/>
  <c r="AH6" i="4" s="1"/>
  <c r="AG80" i="4"/>
  <c r="AG77" i="4"/>
  <c r="S84" i="4"/>
  <c r="AG51" i="4"/>
  <c r="AG61" i="4"/>
  <c r="AG62" i="4"/>
  <c r="J84" i="4"/>
  <c r="V84" i="4"/>
  <c r="AG69" i="4"/>
  <c r="AG75" i="4"/>
  <c r="D84" i="4"/>
  <c r="AG21" i="4"/>
  <c r="AG29" i="4"/>
  <c r="AG37" i="4"/>
  <c r="AG41" i="4"/>
  <c r="AG71" i="4"/>
  <c r="AC75" i="4"/>
  <c r="AH75" i="4" s="1"/>
  <c r="AD41" i="4"/>
  <c r="AI41" i="4" s="1"/>
  <c r="AG17" i="4"/>
  <c r="AD71" i="4"/>
  <c r="AI71" i="4" s="1"/>
  <c r="AG20" i="4"/>
  <c r="AG28" i="4"/>
  <c r="AG43" i="4"/>
  <c r="AG54" i="4"/>
  <c r="AG55" i="4"/>
  <c r="P84" i="4"/>
  <c r="AB84" i="4"/>
  <c r="AD62" i="4"/>
  <c r="AI62" i="4" s="1"/>
  <c r="AD54" i="4"/>
  <c r="AI54" i="4" s="1"/>
  <c r="AG15" i="4"/>
  <c r="AG16" i="4"/>
  <c r="AD77" i="4"/>
  <c r="AI77" i="4" s="1"/>
  <c r="AD69" i="4"/>
  <c r="AI69" i="4" s="1"/>
  <c r="AD61" i="4"/>
  <c r="AI61" i="4" s="1"/>
  <c r="AD37" i="4"/>
  <c r="AI37" i="4" s="1"/>
  <c r="AD29" i="4"/>
  <c r="AI29" i="4" s="1"/>
  <c r="AD21" i="4"/>
  <c r="AI21" i="4" s="1"/>
  <c r="AD28" i="4"/>
  <c r="AI28" i="4" s="1"/>
  <c r="AD20" i="4"/>
  <c r="AI20" i="4" s="1"/>
  <c r="AD51" i="4"/>
  <c r="AI51" i="4" s="1"/>
  <c r="AD43" i="4"/>
  <c r="AI43" i="4" s="1"/>
  <c r="AG9" i="4"/>
  <c r="AG18" i="4"/>
  <c r="AG25" i="4"/>
  <c r="AD18" i="4"/>
  <c r="AI18" i="4" s="1"/>
  <c r="AG22" i="4"/>
  <c r="AG35" i="4"/>
  <c r="AG39" i="4"/>
  <c r="AG42" i="4"/>
  <c r="AG47" i="4"/>
  <c r="AG48" i="4"/>
  <c r="AG63" i="4"/>
  <c r="AG73" i="4"/>
  <c r="AG79" i="4"/>
  <c r="AG83" i="4"/>
  <c r="AD80" i="4"/>
  <c r="AI80" i="4" s="1"/>
  <c r="AD48" i="4"/>
  <c r="AI48" i="4" s="1"/>
  <c r="AD16" i="4"/>
  <c r="AI16" i="4" s="1"/>
  <c r="AG7" i="4"/>
  <c r="AG8" i="4"/>
  <c r="AG72" i="4"/>
  <c r="AG78" i="4"/>
  <c r="AG14" i="4"/>
  <c r="AG10" i="4"/>
  <c r="AG36" i="4"/>
  <c r="AG40" i="4"/>
  <c r="AG49" i="4"/>
  <c r="AG56" i="4"/>
  <c r="AG57" i="4"/>
  <c r="AG76" i="4"/>
  <c r="AG24" i="4"/>
  <c r="AG44" i="4"/>
  <c r="AG45" i="4"/>
  <c r="AG50" i="4"/>
  <c r="AG13" i="4"/>
  <c r="AF84" i="4"/>
  <c r="AD84" i="4" s="1"/>
  <c r="AI84" i="4" s="1"/>
  <c r="AG52" i="4"/>
  <c r="AG53" i="4"/>
  <c r="AG66" i="4"/>
  <c r="AG67" i="4"/>
  <c r="AG11" i="4"/>
  <c r="AG65" i="4"/>
  <c r="AG58" i="4"/>
  <c r="AG64" i="4"/>
  <c r="AE84" i="4"/>
  <c r="AC84" i="4" s="1"/>
  <c r="AH84" i="4" s="1"/>
  <c r="AG19" i="4"/>
  <c r="AG30" i="4"/>
  <c r="AG70" i="4"/>
  <c r="AG74" i="4"/>
  <c r="AG81" i="4"/>
  <c r="AG82" i="4"/>
  <c r="M84" i="4"/>
  <c r="Y84" i="4"/>
  <c r="AG26" i="4"/>
  <c r="AG27" i="4"/>
  <c r="AG38" i="4"/>
  <c r="AG46" i="4"/>
  <c r="AG59" i="4"/>
  <c r="AG12" i="4"/>
  <c r="AG23" i="4"/>
  <c r="AG31" i="4"/>
  <c r="AG32" i="4"/>
  <c r="AG33" i="4"/>
  <c r="AG34" i="4"/>
  <c r="AG60" i="4"/>
  <c r="AG68" i="4"/>
  <c r="G84" i="4"/>
  <c r="AG6" i="4"/>
  <c r="AG84" i="4" l="1"/>
</calcChain>
</file>

<file path=xl/sharedStrings.xml><?xml version="1.0" encoding="utf-8"?>
<sst xmlns="http://schemas.openxmlformats.org/spreadsheetml/2006/main" count="102" uniqueCount="93">
  <si>
    <t>ENVASES</t>
  </si>
  <si>
    <t>MUEBLES</t>
  </si>
  <si>
    <t>RCD</t>
  </si>
  <si>
    <t>RESIDUOS URBANOS MEZCLADOS</t>
  </si>
  <si>
    <t>VIDRIO</t>
  </si>
  <si>
    <t>Total general</t>
  </si>
  <si>
    <t>AYUNTAMIENTO DE ALLANDE</t>
  </si>
  <si>
    <t>AYUNTAMIENTO DE ALLER</t>
  </si>
  <si>
    <t>AYUNTAMIENTO DE AMIEVA</t>
  </si>
  <si>
    <t>AYUNTAMIENTO DE AVILES</t>
  </si>
  <si>
    <t>AYUNTAMIENTO DE BELMONTE DE MIRANDA</t>
  </si>
  <si>
    <t>AYUNTAMIENTO DE BIMENES</t>
  </si>
  <si>
    <t>AYUNTAMIENTO DE BOAL</t>
  </si>
  <si>
    <t>AYUNTAMIENTO DE CABRALES</t>
  </si>
  <si>
    <t>AYUNTAMIENTO DE CABRANES</t>
  </si>
  <si>
    <t>AYUNTAMIENTO DE CANDAMO</t>
  </si>
  <si>
    <t>AYUNTAMIENTO DE CANGAS DE ONIS</t>
  </si>
  <si>
    <t>AYUNTAMIENTO DE CANGAS DEL NARCEA</t>
  </si>
  <si>
    <t>AYUNTAMIENTO DE CARAVIA</t>
  </si>
  <si>
    <t>AYUNTAMIENTO DE CARREÑO</t>
  </si>
  <si>
    <t>AYUNTAMIENTO DE CASO</t>
  </si>
  <si>
    <t>AYUNTAMIENTO DE CASTRILLON</t>
  </si>
  <si>
    <t>AYUNTAMIENTO DE CASTROPOL</t>
  </si>
  <si>
    <t>AYUNTAMIENTO DE COAÑA</t>
  </si>
  <si>
    <t>AYUNTAMIENTO DE COLUNGA</t>
  </si>
  <si>
    <t>AYUNTAMIENTO DE CORVERA DE ASTURIAS</t>
  </si>
  <si>
    <t>AYUNTAMIENTO DE CUDILLERO</t>
  </si>
  <si>
    <t>AYUNTAMIENTO DE DEGAÑA</t>
  </si>
  <si>
    <t>AYUNTAMIENTO DE EL FRANCO</t>
  </si>
  <si>
    <t>AYUNTAMIENTO DE GIJON</t>
  </si>
  <si>
    <t>AYUNTAMIENTO DE GOZON</t>
  </si>
  <si>
    <t>AYUNTAMIENTO DE GRADO</t>
  </si>
  <si>
    <t>AYUNTAMIENTO DE GRANDAS DE SALIME</t>
  </si>
  <si>
    <t>AYUNTAMIENTO DE IBIAS</t>
  </si>
  <si>
    <t>AYUNTAMIENTO DE ILLANO</t>
  </si>
  <si>
    <t>AYUNTAMIENTO DE ILLAS</t>
  </si>
  <si>
    <t>AYUNTAMIENTO DE LANGREO</t>
  </si>
  <si>
    <t>AYUNTAMIENTO DE LAS REGUERAS</t>
  </si>
  <si>
    <t>AYUNTAMIENTO DE LAVIANA</t>
  </si>
  <si>
    <t>AYUNTAMIENTO DE LENA</t>
  </si>
  <si>
    <t>AYUNTAMIENTO DE LLANERA</t>
  </si>
  <si>
    <t>AYUNTAMIENTO DE LLANES</t>
  </si>
  <si>
    <t>AYUNTAMIENTO DE MIERES</t>
  </si>
  <si>
    <t>AYUNTAMIENTO DE MORCIN</t>
  </si>
  <si>
    <t>AYUNTAMIENTO DE MUROS DE NALON</t>
  </si>
  <si>
    <t>AYUNTAMIENTO DE NAVA</t>
  </si>
  <si>
    <t>AYUNTAMIENTO DE NAVIA</t>
  </si>
  <si>
    <t>AYUNTAMIENTO DE NOREÑA</t>
  </si>
  <si>
    <t>AYUNTAMIENTO DE ONIS</t>
  </si>
  <si>
    <t>AYUNTAMIENTO DE OVIEDO</t>
  </si>
  <si>
    <t>AYUNTAMIENTO DE PARRES</t>
  </si>
  <si>
    <t>AYUNTAMIENTO DE PEÑAMELLERA ALTA</t>
  </si>
  <si>
    <t>AYUNTAMIENTO DE PEÑAMELLERA BAJA</t>
  </si>
  <si>
    <t>AYUNTAMIENTO DE PESOZ</t>
  </si>
  <si>
    <t>AYUNTAMIENTO DE PILOÑA</t>
  </si>
  <si>
    <t>AYUNTAMIENTO DE PONGA</t>
  </si>
  <si>
    <t>AYUNTAMIENTO DE PRAVIA</t>
  </si>
  <si>
    <t>AYUNTAMIENTO DE PROAZA</t>
  </si>
  <si>
    <t>AYUNTAMIENTO DE QUIROS</t>
  </si>
  <si>
    <t>AYUNTAMIENTO DE RIBADEDEVA</t>
  </si>
  <si>
    <t>AYUNTAMIENTO DE RIBADESELLA</t>
  </si>
  <si>
    <t>AYUNTAMIENTO DE RIBERA DE ARRIBA</t>
  </si>
  <si>
    <t>AYUNTAMIENTO DE RIOSA</t>
  </si>
  <si>
    <t>AYUNTAMIENTO DE S.MARTIN REY AURELIO</t>
  </si>
  <si>
    <t>AYUNTAMIENTO DE SALAS</t>
  </si>
  <si>
    <t>AYUNTAMIENTO DE SAN MARTIN DE OSCOS</t>
  </si>
  <si>
    <t>AYUNTAMIENTO DE SAN TIRSO DE ABRES</t>
  </si>
  <si>
    <t>AYUNTAMIENTO DE SANTA EULALIA DE OSCOS</t>
  </si>
  <si>
    <t>AYUNTAMIENTO DE SANTO ADRIANO</t>
  </si>
  <si>
    <t>AYUNTAMIENTO DE SARIEGO</t>
  </si>
  <si>
    <t>AYUNTAMIENTO DE SIERO</t>
  </si>
  <si>
    <t>AYUNTAMIENTO DE SOBRESCOBIO</t>
  </si>
  <si>
    <t>AYUNTAMIENTO DE SOMIEDO</t>
  </si>
  <si>
    <t>AYUNTAMIENTO DE SOTO DEL BARCO</t>
  </si>
  <si>
    <t>AYUNTAMIENTO DE TAPIA DE CASARIEGO</t>
  </si>
  <si>
    <t>AYUNTAMIENTO DE TARAMUNDI</t>
  </si>
  <si>
    <t>AYUNTAMIENTO DE TEVERGA</t>
  </si>
  <si>
    <t>AYUNTAMIENTO DE TINEO</t>
  </si>
  <si>
    <t>AYUNTAMIENTO DE VALDES</t>
  </si>
  <si>
    <t>AYUNTAMIENTO DE VEGADEO</t>
  </si>
  <si>
    <t>AYUNTAMIENTO DE VILLANUEVA DE OSCOS</t>
  </si>
  <si>
    <t>AYUNTAMIENTO DE VILLAVICIOSA</t>
  </si>
  <si>
    <t>AYUNTAMIENTO DE VILLAYON</t>
  </si>
  <si>
    <t>AYUNTAMIENTO DE YERNES Y TAMEZA</t>
  </si>
  <si>
    <t>TOTAL RESIDUOS GESTIONADOS</t>
  </si>
  <si>
    <t>OTROS RESIDUOS</t>
  </si>
  <si>
    <t>% Var</t>
  </si>
  <si>
    <t>% RESIDUOS SEPARADOS SOBRE EL TOTAL</t>
  </si>
  <si>
    <t>RESIDUOS SEPARADOS</t>
  </si>
  <si>
    <t>FRACCION ORGÁNICA</t>
  </si>
  <si>
    <t>PAPEL Y CARTÓN</t>
  </si>
  <si>
    <t>VEGETALES Y ESTIÉRCOLES</t>
  </si>
  <si>
    <t>COMPARATIVA RESIDUOS  DE LOS AYUNTAMIENTOS GESTIONADOS EN COGERSA 2021-2020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</si>
</sst>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[Red]\-0.00%"/>
    <numFmt numFmtId="165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theme="4" tint="0.39997558519241921"/>
      </top>
      <bottom style="medium">
        <color theme="4" tint="0.39991454817346722"/>
      </bottom>
      <diagonal/>
    </border>
    <border>
      <left style="medium">
        <color theme="4" tint="0.39970091860713525"/>
      </left>
      <right/>
      <top style="medium">
        <color theme="4" tint="0.39970091860713525"/>
      </top>
      <bottom/>
      <diagonal/>
    </border>
    <border>
      <left/>
      <right/>
      <top style="medium">
        <color theme="4" tint="0.39970091860713525"/>
      </top>
      <bottom/>
      <diagonal/>
    </border>
    <border>
      <left style="medium">
        <color theme="4" tint="0.39967040009765925"/>
      </left>
      <right/>
      <top style="medium">
        <color theme="4" tint="0.39967040009765925"/>
      </top>
      <bottom/>
      <diagonal/>
    </border>
    <border>
      <left/>
      <right/>
      <top style="medium">
        <color theme="4" tint="0.39967040009765925"/>
      </top>
      <bottom/>
      <diagonal/>
    </border>
    <border>
      <left style="medium">
        <color theme="4" tint="0.39994506668294322"/>
      </left>
      <right/>
      <top style="medium">
        <color theme="4" tint="0.39994506668294322"/>
      </top>
      <bottom/>
      <diagonal/>
    </border>
    <border>
      <left/>
      <right/>
      <top style="medium">
        <color theme="4" tint="0.39994506668294322"/>
      </top>
      <bottom/>
      <diagonal/>
    </border>
    <border>
      <left style="medium">
        <color theme="4" tint="0.39988402966399123"/>
      </left>
      <right/>
      <top style="medium">
        <color theme="4" tint="0.39988402966399123"/>
      </top>
      <bottom/>
      <diagonal/>
    </border>
    <border>
      <left/>
      <right/>
      <top style="medium">
        <color theme="4" tint="0.39988402966399123"/>
      </top>
      <bottom/>
      <diagonal/>
    </border>
    <border>
      <left style="medium">
        <color theme="4" tint="0.39982299264503923"/>
      </left>
      <right/>
      <top style="medium">
        <color theme="4" tint="0.39982299264503923"/>
      </top>
      <bottom/>
      <diagonal/>
    </border>
    <border>
      <left/>
      <right/>
      <top style="medium">
        <color theme="4" tint="0.39982299264503923"/>
      </top>
      <bottom/>
      <diagonal/>
    </border>
    <border>
      <left style="medium">
        <color theme="4" tint="0.39976195562608724"/>
      </left>
      <right/>
      <top style="medium">
        <color theme="4" tint="0.39976195562608724"/>
      </top>
      <bottom/>
      <diagonal/>
    </border>
    <border>
      <left/>
      <right/>
      <top style="medium">
        <color theme="4" tint="0.39976195562608724"/>
      </top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88402966399123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82299264503923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76195562608724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70091860713525"/>
      </left>
      <right/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67040009765925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/>
      <bottom style="thin">
        <color theme="4" tint="0.39991454817346722"/>
      </bottom>
      <diagonal/>
    </border>
    <border>
      <left style="medium">
        <color theme="4" tint="0.39988402966399123"/>
      </left>
      <right/>
      <top/>
      <bottom style="thin">
        <color theme="4" tint="0.39991454817346722"/>
      </bottom>
      <diagonal/>
    </border>
    <border>
      <left style="medium">
        <color theme="4" tint="0.39982299264503923"/>
      </left>
      <right/>
      <top/>
      <bottom style="thin">
        <color theme="4" tint="0.39991454817346722"/>
      </bottom>
      <diagonal/>
    </border>
    <border>
      <left style="medium">
        <color theme="4" tint="0.39976195562608724"/>
      </left>
      <right/>
      <top/>
      <bottom style="thin">
        <color theme="4" tint="0.39991454817346722"/>
      </bottom>
      <diagonal/>
    </border>
    <border>
      <left style="medium">
        <color theme="4" tint="0.39970091860713525"/>
      </left>
      <right/>
      <top/>
      <bottom style="thin">
        <color theme="4" tint="0.39991454817346722"/>
      </bottom>
      <diagonal/>
    </border>
    <border>
      <left style="medium">
        <color theme="4" tint="0.39967040009765925"/>
      </left>
      <right/>
      <top/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88402966399123"/>
      </left>
      <right/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82299264503923"/>
      </left>
      <right/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76195562608724"/>
      </left>
      <right/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70091860713525"/>
      </left>
      <right/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67040009765925"/>
      </left>
      <right/>
      <top style="thin">
        <color theme="4" tint="0.39991454817346722"/>
      </top>
      <bottom style="thin">
        <color theme="4" tint="0.39997558519241921"/>
      </bottom>
      <diagonal/>
    </border>
    <border>
      <left/>
      <right/>
      <top style="medium">
        <color theme="4" tint="0.39994506668294322"/>
      </top>
      <bottom style="medium">
        <color theme="4" tint="0.399945066682943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4" tint="0.39988402966399123"/>
      </right>
      <top style="medium">
        <color theme="4" tint="0.39988402966399123"/>
      </top>
      <bottom/>
      <diagonal/>
    </border>
    <border>
      <left/>
      <right style="medium">
        <color theme="4" tint="0.39988402966399123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88402966399123"/>
      </right>
      <top/>
      <bottom style="thin">
        <color theme="4" tint="0.39991454817346722"/>
      </bottom>
      <diagonal/>
    </border>
    <border>
      <left/>
      <right style="medium">
        <color theme="4" tint="0.39988402966399123"/>
      </right>
      <top style="thin">
        <color theme="4" tint="0.39991454817346722"/>
      </top>
      <bottom style="thin">
        <color theme="4" tint="0.39997558519241921"/>
      </bottom>
      <diagonal/>
    </border>
    <border>
      <left/>
      <right style="medium">
        <color theme="4" tint="0.39982299264503923"/>
      </right>
      <top style="medium">
        <color theme="4" tint="0.39982299264503923"/>
      </top>
      <bottom/>
      <diagonal/>
    </border>
    <border>
      <left/>
      <right style="medium">
        <color theme="4" tint="0.39982299264503923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82299264503923"/>
      </right>
      <top/>
      <bottom style="thin">
        <color theme="4" tint="0.39991454817346722"/>
      </bottom>
      <diagonal/>
    </border>
    <border>
      <left/>
      <right style="medium">
        <color theme="4" tint="0.39982299264503923"/>
      </right>
      <top style="thin">
        <color theme="4" tint="0.39991454817346722"/>
      </top>
      <bottom style="thin">
        <color theme="4" tint="0.39997558519241921"/>
      </bottom>
      <diagonal/>
    </border>
    <border>
      <left/>
      <right style="medium">
        <color theme="4" tint="0.39976195562608724"/>
      </right>
      <top style="medium">
        <color theme="4" tint="0.39976195562608724"/>
      </top>
      <bottom/>
      <diagonal/>
    </border>
    <border>
      <left/>
      <right style="medium">
        <color theme="4" tint="0.39976195562608724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76195562608724"/>
      </right>
      <top/>
      <bottom style="thin">
        <color theme="4" tint="0.39991454817346722"/>
      </bottom>
      <diagonal/>
    </border>
    <border>
      <left/>
      <right style="medium">
        <color theme="4" tint="0.39976195562608724"/>
      </right>
      <top style="thin">
        <color theme="4" tint="0.39991454817346722"/>
      </top>
      <bottom style="thin">
        <color theme="4" tint="0.39997558519241921"/>
      </bottom>
      <diagonal/>
    </border>
    <border>
      <left/>
      <right style="medium">
        <color theme="4" tint="0.39970091860713525"/>
      </right>
      <top style="medium">
        <color theme="4" tint="0.39970091860713525"/>
      </top>
      <bottom/>
      <diagonal/>
    </border>
    <border>
      <left/>
      <right style="medium">
        <color theme="4" tint="0.39970091860713525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70091860713525"/>
      </right>
      <top/>
      <bottom style="thin">
        <color theme="4" tint="0.39991454817346722"/>
      </bottom>
      <diagonal/>
    </border>
    <border>
      <left/>
      <right style="medium">
        <color theme="4" tint="0.39970091860713525"/>
      </right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91454817346722"/>
      </left>
      <right style="medium">
        <color theme="4" tint="0.39994506668294322"/>
      </right>
      <top style="medium">
        <color theme="4" tint="0.39991454817346722"/>
      </top>
      <bottom style="thin">
        <color theme="4" tint="0.39997558519241921"/>
      </bottom>
      <diagonal/>
    </border>
    <border>
      <left/>
      <right/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88402966399123"/>
      </left>
      <right/>
      <top style="medium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88402966399123"/>
      </right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82299264503923"/>
      </left>
      <right/>
      <top style="medium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82299264503923"/>
      </right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76195562608724"/>
      </left>
      <right/>
      <top style="medium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76195562608724"/>
      </right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70091860713525"/>
      </left>
      <right/>
      <top style="medium">
        <color theme="4" tint="0.39991454817346722"/>
      </top>
      <bottom style="thin">
        <color theme="4" tint="0.39991454817346722"/>
      </bottom>
      <diagonal/>
    </border>
    <border>
      <left/>
      <right style="medium">
        <color theme="4" tint="0.39970091860713525"/>
      </right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67040009765925"/>
      </left>
      <right/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91454817346722"/>
      </left>
      <right style="medium">
        <color theme="4" tint="0.39994506668294322"/>
      </right>
      <top/>
      <bottom style="thin">
        <color theme="4" tint="0.39991454817346722"/>
      </bottom>
      <diagonal/>
    </border>
    <border>
      <left style="medium">
        <color theme="4" tint="0.39991454817346722"/>
      </left>
      <right style="medium">
        <color theme="4" tint="0.39994506668294322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91454817346722"/>
      </left>
      <right style="medium">
        <color theme="4" tint="0.39994506668294322"/>
      </right>
      <top style="thin">
        <color theme="4" tint="0.39991454817346722"/>
      </top>
      <bottom style="thin">
        <color theme="4" tint="0.39997558519241921"/>
      </bottom>
      <diagonal/>
    </border>
    <border>
      <left style="medium">
        <color theme="4" tint="0.39991454817346722"/>
      </left>
      <right style="medium">
        <color theme="4" tint="0.39994506668294322"/>
      </right>
      <top style="thin">
        <color theme="4" tint="0.39997558519241921"/>
      </top>
      <bottom style="medium">
        <color theme="4" tint="0.39991454817346722"/>
      </bottom>
      <diagonal/>
    </border>
    <border>
      <left style="medium">
        <color theme="4" tint="0.39988402966399123"/>
      </left>
      <right/>
      <top style="thin">
        <color theme="4" tint="0.39997558519241921"/>
      </top>
      <bottom style="medium">
        <color theme="4" tint="0.39991454817346722"/>
      </bottom>
      <diagonal/>
    </border>
    <border>
      <left/>
      <right style="medium">
        <color theme="4" tint="0.39988402966399123"/>
      </right>
      <top style="thin">
        <color theme="4" tint="0.39997558519241921"/>
      </top>
      <bottom style="medium">
        <color theme="4" tint="0.39991454817346722"/>
      </bottom>
      <diagonal/>
    </border>
    <border>
      <left style="medium">
        <color theme="4" tint="0.39982299264503923"/>
      </left>
      <right/>
      <top style="thin">
        <color theme="4" tint="0.39997558519241921"/>
      </top>
      <bottom style="medium">
        <color theme="4" tint="0.39991454817346722"/>
      </bottom>
      <diagonal/>
    </border>
    <border>
      <left/>
      <right style="medium">
        <color theme="4" tint="0.39982299264503923"/>
      </right>
      <top style="thin">
        <color theme="4" tint="0.39997558519241921"/>
      </top>
      <bottom style="medium">
        <color theme="4" tint="0.39991454817346722"/>
      </bottom>
      <diagonal/>
    </border>
    <border>
      <left style="medium">
        <color theme="4" tint="0.39976195562608724"/>
      </left>
      <right/>
      <top style="thin">
        <color theme="4" tint="0.39997558519241921"/>
      </top>
      <bottom style="medium">
        <color theme="4" tint="0.39991454817346722"/>
      </bottom>
      <diagonal/>
    </border>
    <border>
      <left/>
      <right style="medium">
        <color theme="4" tint="0.39976195562608724"/>
      </right>
      <top style="thin">
        <color theme="4" tint="0.39997558519241921"/>
      </top>
      <bottom style="medium">
        <color theme="4" tint="0.39991454817346722"/>
      </bottom>
      <diagonal/>
    </border>
    <border>
      <left style="medium">
        <color theme="4" tint="0.39970091860713525"/>
      </left>
      <right/>
      <top style="thin">
        <color theme="4" tint="0.39997558519241921"/>
      </top>
      <bottom style="medium">
        <color theme="4" tint="0.39991454817346722"/>
      </bottom>
      <diagonal/>
    </border>
    <border>
      <left/>
      <right style="medium">
        <color theme="4" tint="0.39970091860713525"/>
      </right>
      <top style="thin">
        <color theme="4" tint="0.39997558519241921"/>
      </top>
      <bottom style="medium">
        <color theme="4" tint="0.39991454817346722"/>
      </bottom>
      <diagonal/>
    </border>
    <border>
      <left/>
      <right/>
      <top/>
      <bottom style="medium">
        <color theme="4" tint="0.39991454817346722"/>
      </bottom>
      <diagonal/>
    </border>
    <border>
      <left style="medium">
        <color theme="4" tint="0.39967040009765925"/>
      </left>
      <right/>
      <top style="thin">
        <color theme="4" tint="0.39997558519241921"/>
      </top>
      <bottom style="medium">
        <color theme="4" tint="0.39991454817346722"/>
      </bottom>
      <diagonal/>
    </border>
    <border>
      <left/>
      <right/>
      <top style="thin">
        <color theme="4" tint="0.39991454817346722"/>
      </top>
      <bottom/>
      <diagonal/>
    </border>
    <border>
      <left style="medium">
        <color theme="4" tint="0.39988402966399123"/>
      </left>
      <right/>
      <top style="medium">
        <color theme="4" tint="0.39988402966399123"/>
      </top>
      <bottom style="thin">
        <color theme="4" tint="0.39988402966399123"/>
      </bottom>
      <diagonal/>
    </border>
    <border>
      <left/>
      <right style="medium">
        <color theme="4" tint="0.39988402966399123"/>
      </right>
      <top style="medium">
        <color theme="4" tint="0.39988402966399123"/>
      </top>
      <bottom style="thin">
        <color theme="4" tint="0.39988402966399123"/>
      </bottom>
      <diagonal/>
    </border>
    <border>
      <left style="medium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medium">
        <color theme="4" tint="0.39988402966399123"/>
      </left>
      <right/>
      <top style="thin">
        <color theme="4" tint="0.39988402966399123"/>
      </top>
      <bottom style="medium">
        <color theme="4" tint="0.39988402966399123"/>
      </bottom>
      <diagonal/>
    </border>
    <border>
      <left/>
      <right style="medium">
        <color theme="4" tint="0.39988402966399123"/>
      </right>
      <top style="thin">
        <color theme="4" tint="0.39988402966399123"/>
      </top>
      <bottom style="medium">
        <color theme="4" tint="0.3998840296639912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3" fillId="0" borderId="0" xfId="0" applyFont="1" applyFill="1" applyBorder="1"/>
    <xf numFmtId="4" fontId="2" fillId="0" borderId="20" xfId="0" applyNumberFormat="1" applyFont="1" applyBorder="1"/>
    <xf numFmtId="164" fontId="2" fillId="0" borderId="20" xfId="1" applyNumberFormat="1" applyFont="1" applyBorder="1"/>
    <xf numFmtId="4" fontId="2" fillId="0" borderId="21" xfId="0" applyNumberFormat="1" applyFont="1" applyBorder="1"/>
    <xf numFmtId="4" fontId="2" fillId="0" borderId="22" xfId="0" applyNumberFormat="1" applyFont="1" applyBorder="1"/>
    <xf numFmtId="4" fontId="2" fillId="0" borderId="23" xfId="0" applyNumberFormat="1" applyFont="1" applyBorder="1"/>
    <xf numFmtId="4" fontId="2" fillId="0" borderId="24" xfId="0" applyNumberFormat="1" applyFont="1" applyBorder="1"/>
    <xf numFmtId="4" fontId="3" fillId="3" borderId="25" xfId="0" applyNumberFormat="1" applyFont="1" applyFill="1" applyBorder="1"/>
    <xf numFmtId="4" fontId="3" fillId="3" borderId="20" xfId="0" applyNumberFormat="1" applyFont="1" applyFill="1" applyBorder="1"/>
    <xf numFmtId="10" fontId="2" fillId="0" borderId="0" xfId="0" applyNumberFormat="1" applyFont="1"/>
    <xf numFmtId="4" fontId="2" fillId="0" borderId="14" xfId="0" applyNumberFormat="1" applyFont="1" applyBorder="1"/>
    <xf numFmtId="164" fontId="2" fillId="0" borderId="14" xfId="1" applyNumberFormat="1" applyFont="1" applyBorder="1"/>
    <xf numFmtId="4" fontId="2" fillId="0" borderId="15" xfId="0" applyNumberFormat="1" applyFont="1" applyBorder="1"/>
    <xf numFmtId="4" fontId="2" fillId="0" borderId="16" xfId="0" applyNumberFormat="1" applyFont="1" applyBorder="1"/>
    <xf numFmtId="4" fontId="2" fillId="0" borderId="17" xfId="0" applyNumberFormat="1" applyFont="1" applyBorder="1"/>
    <xf numFmtId="4" fontId="2" fillId="0" borderId="18" xfId="0" applyNumberFormat="1" applyFont="1" applyBorder="1"/>
    <xf numFmtId="4" fontId="3" fillId="3" borderId="19" xfId="0" applyNumberFormat="1" applyFont="1" applyFill="1" applyBorder="1"/>
    <xf numFmtId="4" fontId="3" fillId="3" borderId="14" xfId="0" applyNumberFormat="1" applyFont="1" applyFill="1" applyBorder="1"/>
    <xf numFmtId="4" fontId="2" fillId="0" borderId="26" xfId="0" applyNumberFormat="1" applyFont="1" applyBorder="1"/>
    <xf numFmtId="164" fontId="2" fillId="0" borderId="26" xfId="1" applyNumberFormat="1" applyFont="1" applyBorder="1"/>
    <xf numFmtId="4" fontId="2" fillId="0" borderId="27" xfId="0" applyNumberFormat="1" applyFont="1" applyBorder="1"/>
    <xf numFmtId="4" fontId="2" fillId="0" borderId="28" xfId="0" applyNumberFormat="1" applyFont="1" applyBorder="1"/>
    <xf numFmtId="4" fontId="2" fillId="0" borderId="29" xfId="0" applyNumberFormat="1" applyFont="1" applyBorder="1"/>
    <xf numFmtId="4" fontId="2" fillId="0" borderId="30" xfId="0" applyNumberFormat="1" applyFont="1" applyBorder="1"/>
    <xf numFmtId="4" fontId="3" fillId="3" borderId="31" xfId="0" applyNumberFormat="1" applyFont="1" applyFill="1" applyBorder="1"/>
    <xf numFmtId="4" fontId="3" fillId="3" borderId="26" xfId="0" applyNumberFormat="1" applyFont="1" applyFill="1" applyBorder="1"/>
    <xf numFmtId="4" fontId="3" fillId="2" borderId="1" xfId="0" applyNumberFormat="1" applyFont="1" applyFill="1" applyBorder="1"/>
    <xf numFmtId="4" fontId="2" fillId="5" borderId="20" xfId="0" applyNumberFormat="1" applyFont="1" applyFill="1" applyBorder="1"/>
    <xf numFmtId="164" fontId="2" fillId="5" borderId="20" xfId="1" applyNumberFormat="1" applyFont="1" applyFill="1" applyBorder="1"/>
    <xf numFmtId="4" fontId="2" fillId="5" borderId="14" xfId="0" applyNumberFormat="1" applyFont="1" applyFill="1" applyBorder="1"/>
    <xf numFmtId="164" fontId="2" fillId="5" borderId="14" xfId="1" applyNumberFormat="1" applyFont="1" applyFill="1" applyBorder="1"/>
    <xf numFmtId="4" fontId="2" fillId="5" borderId="26" xfId="0" applyNumberFormat="1" applyFont="1" applyFill="1" applyBorder="1"/>
    <xf numFmtId="164" fontId="2" fillId="5" borderId="26" xfId="1" applyNumberFormat="1" applyFont="1" applyFill="1" applyBorder="1"/>
    <xf numFmtId="4" fontId="2" fillId="5" borderId="24" xfId="0" applyNumberFormat="1" applyFont="1" applyFill="1" applyBorder="1"/>
    <xf numFmtId="165" fontId="2" fillId="5" borderId="20" xfId="1" applyNumberFormat="1" applyFont="1" applyFill="1" applyBorder="1"/>
    <xf numFmtId="4" fontId="2" fillId="5" borderId="18" xfId="0" applyNumberFormat="1" applyFont="1" applyFill="1" applyBorder="1"/>
    <xf numFmtId="4" fontId="2" fillId="5" borderId="30" xfId="0" applyNumberFormat="1" applyFont="1" applyFill="1" applyBorder="1"/>
    <xf numFmtId="0" fontId="2" fillId="0" borderId="33" xfId="0" applyFont="1" applyBorder="1"/>
    <xf numFmtId="164" fontId="2" fillId="0" borderId="36" xfId="1" applyNumberFormat="1" applyFont="1" applyBorder="1"/>
    <xf numFmtId="164" fontId="2" fillId="0" borderId="35" xfId="1" applyNumberFormat="1" applyFont="1" applyBorder="1"/>
    <xf numFmtId="164" fontId="2" fillId="0" borderId="37" xfId="1" applyNumberFormat="1" applyFont="1" applyBorder="1"/>
    <xf numFmtId="164" fontId="2" fillId="0" borderId="40" xfId="1" applyNumberFormat="1" applyFont="1" applyBorder="1"/>
    <xf numFmtId="164" fontId="2" fillId="0" borderId="39" xfId="1" applyNumberFormat="1" applyFont="1" applyBorder="1"/>
    <xf numFmtId="164" fontId="2" fillId="0" borderId="41" xfId="1" applyNumberFormat="1" applyFont="1" applyBorder="1"/>
    <xf numFmtId="164" fontId="2" fillId="0" borderId="44" xfId="1" applyNumberFormat="1" applyFont="1" applyBorder="1"/>
    <xf numFmtId="164" fontId="2" fillId="0" borderId="43" xfId="1" applyNumberFormat="1" applyFont="1" applyBorder="1"/>
    <xf numFmtId="164" fontId="2" fillId="0" borderId="45" xfId="1" applyNumberFormat="1" applyFont="1" applyBorder="1"/>
    <xf numFmtId="164" fontId="2" fillId="0" borderId="48" xfId="1" applyNumberFormat="1" applyFont="1" applyBorder="1"/>
    <xf numFmtId="164" fontId="2" fillId="0" borderId="47" xfId="1" applyNumberFormat="1" applyFont="1" applyBorder="1"/>
    <xf numFmtId="164" fontId="2" fillId="0" borderId="49" xfId="1" applyNumberFormat="1" applyFont="1" applyBorder="1"/>
    <xf numFmtId="0" fontId="3" fillId="2" borderId="50" xfId="0" applyFont="1" applyFill="1" applyBorder="1"/>
    <xf numFmtId="0" fontId="3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2" fillId="0" borderId="61" xfId="0" applyFont="1" applyBorder="1" applyAlignment="1">
      <alignment horizontal="left"/>
    </xf>
    <xf numFmtId="0" fontId="2" fillId="0" borderId="62" xfId="0" applyFont="1" applyBorder="1" applyAlignment="1">
      <alignment horizontal="left"/>
    </xf>
    <xf numFmtId="0" fontId="2" fillId="0" borderId="63" xfId="0" applyFont="1" applyBorder="1" applyAlignment="1">
      <alignment horizontal="left"/>
    </xf>
    <xf numFmtId="0" fontId="3" fillId="2" borderId="64" xfId="0" applyFont="1" applyFill="1" applyBorder="1" applyAlignment="1">
      <alignment horizontal="left"/>
    </xf>
    <xf numFmtId="164" fontId="3" fillId="2" borderId="1" xfId="1" applyNumberFormat="1" applyFont="1" applyFill="1" applyBorder="1"/>
    <xf numFmtId="4" fontId="3" fillId="2" borderId="65" xfId="0" applyNumberFormat="1" applyFont="1" applyFill="1" applyBorder="1"/>
    <xf numFmtId="164" fontId="3" fillId="2" borderId="66" xfId="1" applyNumberFormat="1" applyFont="1" applyFill="1" applyBorder="1"/>
    <xf numFmtId="4" fontId="3" fillId="2" borderId="67" xfId="0" applyNumberFormat="1" applyFont="1" applyFill="1" applyBorder="1"/>
    <xf numFmtId="164" fontId="3" fillId="2" borderId="68" xfId="1" applyNumberFormat="1" applyFont="1" applyFill="1" applyBorder="1"/>
    <xf numFmtId="4" fontId="3" fillId="2" borderId="69" xfId="0" applyNumberFormat="1" applyFont="1" applyFill="1" applyBorder="1"/>
    <xf numFmtId="164" fontId="3" fillId="2" borderId="70" xfId="1" applyNumberFormat="1" applyFont="1" applyFill="1" applyBorder="1"/>
    <xf numFmtId="4" fontId="3" fillId="2" borderId="71" xfId="0" applyNumberFormat="1" applyFont="1" applyFill="1" applyBorder="1"/>
    <xf numFmtId="164" fontId="3" fillId="2" borderId="72" xfId="1" applyNumberFormat="1" applyFont="1" applyFill="1" applyBorder="1"/>
    <xf numFmtId="165" fontId="3" fillId="4" borderId="73" xfId="1" applyNumberFormat="1" applyFont="1" applyFill="1" applyBorder="1"/>
    <xf numFmtId="4" fontId="3" fillId="2" borderId="74" xfId="0" applyNumberFormat="1" applyFont="1" applyFill="1" applyBorder="1"/>
    <xf numFmtId="164" fontId="3" fillId="3" borderId="20" xfId="1" applyNumberFormat="1" applyFont="1" applyFill="1" applyBorder="1"/>
    <xf numFmtId="164" fontId="3" fillId="3" borderId="14" xfId="1" applyNumberFormat="1" applyFont="1" applyFill="1" applyBorder="1"/>
    <xf numFmtId="164" fontId="3" fillId="3" borderId="75" xfId="1" applyNumberFormat="1" applyFont="1" applyFill="1" applyBorder="1"/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164" fontId="2" fillId="3" borderId="78" xfId="1" applyNumberFormat="1" applyFont="1" applyFill="1" applyBorder="1"/>
    <xf numFmtId="164" fontId="3" fillId="3" borderId="79" xfId="1" applyNumberFormat="1" applyFont="1" applyFill="1" applyBorder="1"/>
    <xf numFmtId="164" fontId="3" fillId="3" borderId="80" xfId="1" applyNumberFormat="1" applyFont="1" applyFill="1" applyBorder="1"/>
    <xf numFmtId="164" fontId="3" fillId="3" borderId="81" xfId="1" applyNumberFormat="1" applyFont="1" applyFill="1" applyBorder="1"/>
    <xf numFmtId="0" fontId="3" fillId="0" borderId="3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777-D1D4-437B-9C0E-422CFC9E1F54}">
  <sheetPr>
    <pageSetUpPr fitToPage="1"/>
  </sheetPr>
  <dimension ref="A1:AK86"/>
  <sheetViews>
    <sheetView showGridLines="0" tabSelected="1" zoomScaleNormal="100" workbookViewId="0">
      <selection activeCell="Z85" sqref="Z85"/>
    </sheetView>
  </sheetViews>
  <sheetFormatPr baseColWidth="10" defaultColWidth="11.42578125" defaultRowHeight="12.75" x14ac:dyDescent="0.2"/>
  <cols>
    <col min="1" max="1" width="37.28515625" style="1" customWidth="1"/>
    <col min="2" max="2" width="10.5703125" style="2" customWidth="1"/>
    <col min="3" max="3" width="10.5703125" style="1" customWidth="1"/>
    <col min="4" max="4" width="9.7109375" style="1" customWidth="1"/>
    <col min="5" max="6" width="10.5703125" style="1" customWidth="1"/>
    <col min="7" max="7" width="9.7109375" style="1" customWidth="1"/>
    <col min="8" max="9" width="10.5703125" style="1" customWidth="1"/>
    <col min="10" max="10" width="9.7109375" style="1" customWidth="1"/>
    <col min="11" max="12" width="10.5703125" style="1" customWidth="1"/>
    <col min="13" max="13" width="9.7109375" style="1" customWidth="1"/>
    <col min="14" max="15" width="10.5703125" style="1" customWidth="1"/>
    <col min="16" max="16" width="9.7109375" style="1" customWidth="1"/>
    <col min="17" max="18" width="10.5703125" style="1" customWidth="1"/>
    <col min="19" max="19" width="9.7109375" style="1" customWidth="1"/>
    <col min="20" max="21" width="10.5703125" style="1" customWidth="1"/>
    <col min="22" max="22" width="9.7109375" style="1" customWidth="1"/>
    <col min="23" max="24" width="10.5703125" style="1" customWidth="1"/>
    <col min="25" max="25" width="9.7109375" style="1" customWidth="1"/>
    <col min="26" max="27" width="10.5703125" style="1" customWidth="1"/>
    <col min="28" max="28" width="9.7109375" style="1" customWidth="1"/>
    <col min="29" max="29" width="12.140625" style="1" customWidth="1"/>
    <col min="30" max="30" width="14.7109375" style="1" customWidth="1"/>
    <col min="31" max="32" width="12.7109375" style="1" customWidth="1"/>
    <col min="33" max="33" width="9.7109375" style="1" customWidth="1"/>
    <col min="34" max="34" width="12.85546875" style="1" customWidth="1"/>
    <col min="35" max="35" width="12.7109375" style="1" customWidth="1"/>
    <col min="36" max="16384" width="11.42578125" style="1"/>
  </cols>
  <sheetData>
    <row r="1" spans="1:37" ht="15" customHeight="1" thickBot="1" x14ac:dyDescent="0.25"/>
    <row r="2" spans="1:37" ht="15" customHeight="1" thickBot="1" x14ac:dyDescent="0.25">
      <c r="A2" s="88" t="s">
        <v>92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37" ht="15" customHeight="1" thickBot="1" x14ac:dyDescent="0.25">
      <c r="AC3" s="40"/>
      <c r="AD3" s="40"/>
    </row>
    <row r="4" spans="1:37" ht="24.75" customHeight="1" thickBot="1" x14ac:dyDescent="0.25">
      <c r="A4" s="3"/>
      <c r="B4" s="95" t="s">
        <v>3</v>
      </c>
      <c r="C4" s="96"/>
      <c r="D4" s="96"/>
      <c r="E4" s="97" t="s">
        <v>89</v>
      </c>
      <c r="F4" s="98"/>
      <c r="G4" s="99"/>
      <c r="H4" s="98" t="s">
        <v>0</v>
      </c>
      <c r="I4" s="98"/>
      <c r="J4" s="98"/>
      <c r="K4" s="100" t="s">
        <v>90</v>
      </c>
      <c r="L4" s="101"/>
      <c r="M4" s="102"/>
      <c r="N4" s="101" t="s">
        <v>4</v>
      </c>
      <c r="O4" s="101"/>
      <c r="P4" s="101"/>
      <c r="Q4" s="103" t="s">
        <v>91</v>
      </c>
      <c r="R4" s="104"/>
      <c r="S4" s="105"/>
      <c r="T4" s="104" t="s">
        <v>1</v>
      </c>
      <c r="U4" s="104"/>
      <c r="V4" s="104"/>
      <c r="W4" s="91" t="s">
        <v>2</v>
      </c>
      <c r="X4" s="92"/>
      <c r="Y4" s="106"/>
      <c r="Z4" s="92" t="s">
        <v>85</v>
      </c>
      <c r="AA4" s="92"/>
      <c r="AB4" s="92"/>
      <c r="AC4" s="91" t="s">
        <v>88</v>
      </c>
      <c r="AD4" s="92"/>
      <c r="AE4" s="89" t="s">
        <v>84</v>
      </c>
      <c r="AF4" s="90"/>
      <c r="AG4" s="90"/>
      <c r="AH4" s="93" t="s">
        <v>87</v>
      </c>
      <c r="AI4" s="94"/>
    </row>
    <row r="5" spans="1:37" ht="15" customHeight="1" x14ac:dyDescent="0.2">
      <c r="A5" s="53"/>
      <c r="B5" s="54">
        <v>2020</v>
      </c>
      <c r="C5" s="54">
        <v>2021</v>
      </c>
      <c r="D5" s="54" t="s">
        <v>86</v>
      </c>
      <c r="E5" s="55">
        <v>2020</v>
      </c>
      <c r="F5" s="54">
        <v>2021</v>
      </c>
      <c r="G5" s="56" t="s">
        <v>86</v>
      </c>
      <c r="H5" s="54">
        <v>2020</v>
      </c>
      <c r="I5" s="54">
        <v>2021</v>
      </c>
      <c r="J5" s="54" t="s">
        <v>86</v>
      </c>
      <c r="K5" s="57">
        <v>2020</v>
      </c>
      <c r="L5" s="54">
        <v>2021</v>
      </c>
      <c r="M5" s="58" t="s">
        <v>86</v>
      </c>
      <c r="N5" s="54">
        <v>2020</v>
      </c>
      <c r="O5" s="54">
        <v>2021</v>
      </c>
      <c r="P5" s="54" t="s">
        <v>86</v>
      </c>
      <c r="Q5" s="59">
        <v>2020</v>
      </c>
      <c r="R5" s="54">
        <v>2021</v>
      </c>
      <c r="S5" s="60" t="s">
        <v>86</v>
      </c>
      <c r="T5" s="54">
        <v>2020</v>
      </c>
      <c r="U5" s="54">
        <v>2021</v>
      </c>
      <c r="V5" s="54" t="s">
        <v>86</v>
      </c>
      <c r="W5" s="61">
        <v>2020</v>
      </c>
      <c r="X5" s="54">
        <v>2021</v>
      </c>
      <c r="Y5" s="62" t="s">
        <v>86</v>
      </c>
      <c r="Z5" s="54">
        <v>2020</v>
      </c>
      <c r="AA5" s="54">
        <v>2021</v>
      </c>
      <c r="AB5" s="54" t="s">
        <v>86</v>
      </c>
      <c r="AC5" s="61">
        <v>2020</v>
      </c>
      <c r="AD5" s="54">
        <v>2021</v>
      </c>
      <c r="AE5" s="63">
        <v>2020</v>
      </c>
      <c r="AF5" s="54">
        <v>2021</v>
      </c>
      <c r="AG5" s="54" t="s">
        <v>86</v>
      </c>
      <c r="AH5" s="82">
        <v>2020</v>
      </c>
      <c r="AI5" s="83">
        <v>2021</v>
      </c>
    </row>
    <row r="6" spans="1:37" ht="15" customHeight="1" x14ac:dyDescent="0.2">
      <c r="A6" s="64" t="s">
        <v>6</v>
      </c>
      <c r="B6" s="30">
        <v>799.97800000000007</v>
      </c>
      <c r="C6" s="30">
        <v>873.55600000000015</v>
      </c>
      <c r="D6" s="31">
        <f>+(C6-B6)/B6</f>
        <v>9.1975029313306214E-2</v>
      </c>
      <c r="E6" s="6"/>
      <c r="F6" s="4"/>
      <c r="G6" s="41"/>
      <c r="H6" s="4">
        <v>5.88</v>
      </c>
      <c r="I6" s="4">
        <v>6.4799999999999995</v>
      </c>
      <c r="J6" s="5">
        <f>+(I6-H6)/H6</f>
        <v>0.10204081632653056</v>
      </c>
      <c r="K6" s="7">
        <v>8.84</v>
      </c>
      <c r="L6" s="4">
        <v>10.747</v>
      </c>
      <c r="M6" s="44">
        <f>+(L6-K6)/K6</f>
        <v>0.2157239819004525</v>
      </c>
      <c r="N6" s="4">
        <v>8.6999999999999993</v>
      </c>
      <c r="O6" s="4">
        <v>5.9399999999999995</v>
      </c>
      <c r="P6" s="5">
        <f>+(O6-N6)/N6</f>
        <v>-0.31724137931034485</v>
      </c>
      <c r="Q6" s="8"/>
      <c r="R6" s="4"/>
      <c r="S6" s="47"/>
      <c r="T6" s="4">
        <v>21.95</v>
      </c>
      <c r="U6" s="4">
        <v>8.8759999999999994</v>
      </c>
      <c r="V6" s="5">
        <f>+(U6-T6)/T6</f>
        <v>-0.59562642369020502</v>
      </c>
      <c r="W6" s="9"/>
      <c r="X6" s="4"/>
      <c r="Y6" s="50"/>
      <c r="Z6" s="4">
        <v>1.4679999999999997</v>
      </c>
      <c r="AA6" s="4">
        <v>1.333</v>
      </c>
      <c r="AB6" s="5">
        <f>+(AA6-Z6)/Z6</f>
        <v>-9.1961852861035295E-2</v>
      </c>
      <c r="AC6" s="36">
        <f>AE6-B6</f>
        <v>46.838000000000079</v>
      </c>
      <c r="AD6" s="37">
        <f>AF6-C6</f>
        <v>33.375999999999976</v>
      </c>
      <c r="AE6" s="10">
        <f>SUMIF($B$5:$AA$5,$AE$5,B6:AA6)</f>
        <v>846.81600000000014</v>
      </c>
      <c r="AF6" s="11">
        <f>SUMIF($B$5:$AA$5,$AF$5,B6:AA6)</f>
        <v>906.93200000000013</v>
      </c>
      <c r="AG6" s="79">
        <f>+(AF6-AE6)/AE6</f>
        <v>7.0990628424592792E-2</v>
      </c>
      <c r="AH6" s="84">
        <f>AC6/AE6</f>
        <v>5.5310716849941509E-2</v>
      </c>
      <c r="AI6" s="85">
        <f>AD6/AF6</f>
        <v>3.6800995002932935E-2</v>
      </c>
      <c r="AK6" s="12"/>
    </row>
    <row r="7" spans="1:37" ht="15" customHeight="1" x14ac:dyDescent="0.2">
      <c r="A7" s="65" t="s">
        <v>7</v>
      </c>
      <c r="B7" s="32">
        <v>3499.828</v>
      </c>
      <c r="C7" s="32">
        <v>3308.4999999999982</v>
      </c>
      <c r="D7" s="33">
        <f t="shared" ref="D7:D70" si="0">+(C7-B7)/B7</f>
        <v>-5.4667829390473419E-2</v>
      </c>
      <c r="E7" s="15"/>
      <c r="F7" s="13"/>
      <c r="G7" s="42"/>
      <c r="H7" s="13">
        <v>71.099999999999994</v>
      </c>
      <c r="I7" s="13">
        <v>71.157000000000011</v>
      </c>
      <c r="J7" s="14">
        <f t="shared" ref="J7:J70" si="1">+(I7-H7)/H7</f>
        <v>8.0168776371331051E-4</v>
      </c>
      <c r="K7" s="16">
        <v>88.52</v>
      </c>
      <c r="L7" s="13">
        <v>92.593000000000004</v>
      </c>
      <c r="M7" s="45">
        <f t="shared" ref="M7:M70" si="2">+(L7-K7)/K7</f>
        <v>4.6012200632625483E-2</v>
      </c>
      <c r="N7" s="13">
        <v>140.63999999999999</v>
      </c>
      <c r="O7" s="13">
        <v>138.06000000000003</v>
      </c>
      <c r="P7" s="14">
        <f t="shared" ref="P7:P70" si="3">+(O7-N7)/N7</f>
        <v>-1.8344709897610608E-2</v>
      </c>
      <c r="Q7" s="17">
        <v>66.240000000000009</v>
      </c>
      <c r="R7" s="13">
        <v>28.3</v>
      </c>
      <c r="S7" s="48">
        <f t="shared" ref="S7:S70" si="4">+(R7-Q7)/Q7</f>
        <v>-0.57276570048309194</v>
      </c>
      <c r="T7" s="13">
        <v>176.702</v>
      </c>
      <c r="U7" s="13">
        <v>305.21999999999997</v>
      </c>
      <c r="V7" s="14">
        <f t="shared" ref="V7:V70" si="5">+(U7-T7)/T7</f>
        <v>0.72731491437561524</v>
      </c>
      <c r="W7" s="18">
        <v>278.98</v>
      </c>
      <c r="X7" s="13">
        <v>540.36</v>
      </c>
      <c r="Y7" s="51">
        <f t="shared" ref="Y7:Y70" si="6">+(X7-W7)/W7</f>
        <v>0.93691304036131617</v>
      </c>
      <c r="Z7" s="13">
        <v>0.66</v>
      </c>
      <c r="AA7" s="13">
        <v>21.22</v>
      </c>
      <c r="AB7" s="14">
        <f t="shared" ref="AB7:AB70" si="7">+(AA7-Z7)/Z7</f>
        <v>31.151515151515149</v>
      </c>
      <c r="AC7" s="38">
        <f t="shared" ref="AC7:AC70" si="8">AE7-B7</f>
        <v>822.8420000000001</v>
      </c>
      <c r="AD7" s="37">
        <f t="shared" ref="AD7:AD70" si="9">AF7-C7</f>
        <v>1196.9099999999999</v>
      </c>
      <c r="AE7" s="19">
        <f t="shared" ref="AE7:AE70" si="10">SUMIF($B$5:$AA$5,$AE$5,B7:AA7)</f>
        <v>4322.67</v>
      </c>
      <c r="AF7" s="20">
        <f t="shared" ref="AF7:AF70" si="11">SUMIF($B$5:$AA$5,$AF$5,B7:AA7)</f>
        <v>4505.409999999998</v>
      </c>
      <c r="AG7" s="80">
        <f t="shared" ref="AG7:AG70" si="12">+(AF7-AE7)/AE7</f>
        <v>4.2274797752314651E-2</v>
      </c>
      <c r="AH7" s="84">
        <f t="shared" ref="AH7:AH70" si="13">AC7/AE7</f>
        <v>0.190355035198153</v>
      </c>
      <c r="AI7" s="85">
        <f t="shared" ref="AI7:AI70" si="14">AD7/AF7</f>
        <v>0.2656606169027903</v>
      </c>
      <c r="AK7" s="12"/>
    </row>
    <row r="8" spans="1:37" ht="15" customHeight="1" x14ac:dyDescent="0.2">
      <c r="A8" s="65" t="s">
        <v>8</v>
      </c>
      <c r="B8" s="32">
        <v>246.56</v>
      </c>
      <c r="C8" s="32">
        <v>247.90000000000006</v>
      </c>
      <c r="D8" s="33">
        <f t="shared" si="0"/>
        <v>5.4347826086958966E-3</v>
      </c>
      <c r="E8" s="15"/>
      <c r="F8" s="13"/>
      <c r="G8" s="42"/>
      <c r="H8" s="13">
        <v>1.9</v>
      </c>
      <c r="I8" s="13">
        <v>1.9000000000000001</v>
      </c>
      <c r="J8" s="14">
        <f t="shared" si="1"/>
        <v>1.1686558153949016E-16</v>
      </c>
      <c r="K8" s="16">
        <v>2.11</v>
      </c>
      <c r="L8" s="13">
        <v>2.44</v>
      </c>
      <c r="M8" s="45">
        <f t="shared" si="2"/>
        <v>0.15639810426540288</v>
      </c>
      <c r="N8" s="13">
        <v>6.37</v>
      </c>
      <c r="O8" s="13">
        <v>8.4499999999999993</v>
      </c>
      <c r="P8" s="14">
        <f t="shared" si="3"/>
        <v>0.32653061224489782</v>
      </c>
      <c r="Q8" s="17"/>
      <c r="R8" s="13"/>
      <c r="S8" s="48"/>
      <c r="T8" s="13">
        <v>4.96</v>
      </c>
      <c r="U8" s="13">
        <v>5</v>
      </c>
      <c r="V8" s="14">
        <f t="shared" si="5"/>
        <v>8.0645161290322648E-3</v>
      </c>
      <c r="W8" s="18"/>
      <c r="X8" s="13"/>
      <c r="Y8" s="51"/>
      <c r="Z8" s="13">
        <v>2.1739999999999999</v>
      </c>
      <c r="AA8" s="13">
        <v>3.5840000000000001</v>
      </c>
      <c r="AB8" s="14">
        <f t="shared" si="7"/>
        <v>0.64857405703771853</v>
      </c>
      <c r="AC8" s="38">
        <f t="shared" si="8"/>
        <v>17.513999999999953</v>
      </c>
      <c r="AD8" s="37">
        <f t="shared" si="9"/>
        <v>21.373999999999995</v>
      </c>
      <c r="AE8" s="19">
        <f t="shared" si="10"/>
        <v>264.07399999999996</v>
      </c>
      <c r="AF8" s="20">
        <f t="shared" si="11"/>
        <v>269.27400000000006</v>
      </c>
      <c r="AG8" s="80">
        <f t="shared" si="12"/>
        <v>1.9691450123829318E-2</v>
      </c>
      <c r="AH8" s="84">
        <f t="shared" si="13"/>
        <v>6.6322318743988265E-2</v>
      </c>
      <c r="AI8" s="85">
        <f t="shared" si="14"/>
        <v>7.9376397275637417E-2</v>
      </c>
      <c r="AK8" s="12"/>
    </row>
    <row r="9" spans="1:37" ht="15" customHeight="1" x14ac:dyDescent="0.2">
      <c r="A9" s="65" t="s">
        <v>9</v>
      </c>
      <c r="B9" s="32">
        <v>26800.240000000002</v>
      </c>
      <c r="C9" s="32">
        <v>27320.610000000008</v>
      </c>
      <c r="D9" s="33">
        <f t="shared" si="0"/>
        <v>1.9416617164622639E-2</v>
      </c>
      <c r="E9" s="15">
        <v>336.34</v>
      </c>
      <c r="F9" s="13">
        <v>390.08</v>
      </c>
      <c r="G9" s="42">
        <f t="shared" ref="G9:G49" si="15">+(F9-E9)/E9</f>
        <v>0.15977879526669445</v>
      </c>
      <c r="H9" s="13">
        <v>1007.91</v>
      </c>
      <c r="I9" s="13">
        <v>1021.226</v>
      </c>
      <c r="J9" s="14">
        <f t="shared" si="1"/>
        <v>1.3211497058269123E-2</v>
      </c>
      <c r="K9" s="16">
        <v>1798.38</v>
      </c>
      <c r="L9" s="13">
        <v>1790.6059999999993</v>
      </c>
      <c r="M9" s="45">
        <f t="shared" si="2"/>
        <v>-4.322779390340638E-3</v>
      </c>
      <c r="N9" s="13">
        <v>1101.31</v>
      </c>
      <c r="O9" s="13">
        <v>1107.7650000000001</v>
      </c>
      <c r="P9" s="14">
        <f t="shared" si="3"/>
        <v>5.8612016598416023E-3</v>
      </c>
      <c r="Q9" s="17">
        <v>1101.3599999999999</v>
      </c>
      <c r="R9" s="13">
        <v>1226.9000000000001</v>
      </c>
      <c r="S9" s="48">
        <f t="shared" si="4"/>
        <v>0.11398634415631601</v>
      </c>
      <c r="T9" s="13">
        <v>1045.5</v>
      </c>
      <c r="U9" s="13">
        <v>1139.1000000000001</v>
      </c>
      <c r="V9" s="14">
        <f t="shared" si="5"/>
        <v>8.9526542324246908E-2</v>
      </c>
      <c r="W9" s="18">
        <v>1378.9</v>
      </c>
      <c r="X9" s="13">
        <v>1426.4400000000007</v>
      </c>
      <c r="Y9" s="51">
        <f t="shared" si="6"/>
        <v>3.4476756835158925E-2</v>
      </c>
      <c r="Z9" s="13">
        <v>607.30700000000002</v>
      </c>
      <c r="AA9" s="13">
        <v>776.29200000000003</v>
      </c>
      <c r="AB9" s="14">
        <f t="shared" si="7"/>
        <v>0.27825300877480419</v>
      </c>
      <c r="AC9" s="38">
        <f t="shared" si="8"/>
        <v>8377.0070000000087</v>
      </c>
      <c r="AD9" s="37">
        <f t="shared" si="9"/>
        <v>8878.4089999999997</v>
      </c>
      <c r="AE9" s="19">
        <f t="shared" si="10"/>
        <v>35177.24700000001</v>
      </c>
      <c r="AF9" s="20">
        <f t="shared" si="11"/>
        <v>36199.019000000008</v>
      </c>
      <c r="AG9" s="80">
        <f t="shared" si="12"/>
        <v>2.9046388991156611E-2</v>
      </c>
      <c r="AH9" s="84">
        <f t="shared" si="13"/>
        <v>0.23813708332548042</v>
      </c>
      <c r="AI9" s="85">
        <f t="shared" si="14"/>
        <v>0.24526656371544206</v>
      </c>
      <c r="AK9" s="12"/>
    </row>
    <row r="10" spans="1:37" ht="15" customHeight="1" x14ac:dyDescent="0.2">
      <c r="A10" s="65" t="s">
        <v>10</v>
      </c>
      <c r="B10" s="32">
        <v>904.69299999999998</v>
      </c>
      <c r="C10" s="32">
        <v>801.22800000000007</v>
      </c>
      <c r="D10" s="33">
        <f t="shared" si="0"/>
        <v>-0.11436476241111616</v>
      </c>
      <c r="E10" s="15"/>
      <c r="F10" s="13"/>
      <c r="G10" s="42"/>
      <c r="H10" s="13">
        <v>6.125</v>
      </c>
      <c r="I10" s="13">
        <v>5.2320000000000002</v>
      </c>
      <c r="J10" s="14">
        <f t="shared" si="1"/>
        <v>-0.1457959183673469</v>
      </c>
      <c r="K10" s="16">
        <v>11.1</v>
      </c>
      <c r="L10" s="13">
        <v>10.474</v>
      </c>
      <c r="M10" s="45">
        <f t="shared" si="2"/>
        <v>-5.6396396396396348E-2</v>
      </c>
      <c r="N10" s="13">
        <v>13.48</v>
      </c>
      <c r="O10" s="13">
        <v>11.004999999999999</v>
      </c>
      <c r="P10" s="14">
        <f t="shared" si="3"/>
        <v>-0.18360534124629091</v>
      </c>
      <c r="Q10" s="17"/>
      <c r="R10" s="13"/>
      <c r="S10" s="48"/>
      <c r="T10" s="13">
        <v>50.871000000000002</v>
      </c>
      <c r="U10" s="13">
        <v>54.183999999999997</v>
      </c>
      <c r="V10" s="14">
        <f t="shared" si="5"/>
        <v>6.5125513553891123E-2</v>
      </c>
      <c r="W10" s="18">
        <v>13.3</v>
      </c>
      <c r="X10" s="13"/>
      <c r="Y10" s="51">
        <f t="shared" si="6"/>
        <v>-1</v>
      </c>
      <c r="Z10" s="13">
        <v>1.863</v>
      </c>
      <c r="AA10" s="13">
        <v>1.952</v>
      </c>
      <c r="AB10" s="14">
        <f t="shared" si="7"/>
        <v>4.7772410091250654E-2</v>
      </c>
      <c r="AC10" s="38">
        <f t="shared" si="8"/>
        <v>96.739000000000033</v>
      </c>
      <c r="AD10" s="37">
        <f t="shared" si="9"/>
        <v>82.84699999999998</v>
      </c>
      <c r="AE10" s="19">
        <f t="shared" si="10"/>
        <v>1001.432</v>
      </c>
      <c r="AF10" s="20">
        <f t="shared" si="11"/>
        <v>884.07500000000005</v>
      </c>
      <c r="AG10" s="80">
        <f t="shared" si="12"/>
        <v>-0.11718918508695544</v>
      </c>
      <c r="AH10" s="84">
        <f t="shared" si="13"/>
        <v>9.660066784364793E-2</v>
      </c>
      <c r="AI10" s="85">
        <f t="shared" si="14"/>
        <v>9.3710375250968495E-2</v>
      </c>
      <c r="AK10" s="12"/>
    </row>
    <row r="11" spans="1:37" ht="15" customHeight="1" x14ac:dyDescent="0.2">
      <c r="A11" s="65" t="s">
        <v>11</v>
      </c>
      <c r="B11" s="32">
        <v>711.62990000000013</v>
      </c>
      <c r="C11" s="32">
        <v>733.38760000000036</v>
      </c>
      <c r="D11" s="33">
        <f t="shared" si="0"/>
        <v>3.0574460123162648E-2</v>
      </c>
      <c r="E11" s="15"/>
      <c r="F11" s="13"/>
      <c r="G11" s="42"/>
      <c r="H11" s="13">
        <v>16.05</v>
      </c>
      <c r="I11" s="13">
        <v>18.745000000000001</v>
      </c>
      <c r="J11" s="14">
        <f t="shared" si="1"/>
        <v>0.16791277258566978</v>
      </c>
      <c r="K11" s="16">
        <v>17.87</v>
      </c>
      <c r="L11" s="13">
        <v>14.372999999999998</v>
      </c>
      <c r="M11" s="45">
        <f t="shared" si="2"/>
        <v>-0.19569110240626766</v>
      </c>
      <c r="N11" s="13">
        <v>13.57</v>
      </c>
      <c r="O11" s="13">
        <v>15.849999999999998</v>
      </c>
      <c r="P11" s="14">
        <f t="shared" si="3"/>
        <v>0.16801768607221795</v>
      </c>
      <c r="Q11" s="17"/>
      <c r="R11" s="13"/>
      <c r="S11" s="48"/>
      <c r="T11" s="13">
        <v>61.816000000000003</v>
      </c>
      <c r="U11" s="13">
        <v>42.400000000000006</v>
      </c>
      <c r="V11" s="14">
        <f t="shared" si="5"/>
        <v>-0.31409343859195021</v>
      </c>
      <c r="W11" s="18"/>
      <c r="X11" s="13"/>
      <c r="Y11" s="51"/>
      <c r="Z11" s="13">
        <v>1.7310000000000001</v>
      </c>
      <c r="AA11" s="13">
        <v>1.415</v>
      </c>
      <c r="AB11" s="14">
        <f t="shared" si="7"/>
        <v>-0.18255343731946855</v>
      </c>
      <c r="AC11" s="38">
        <f t="shared" si="8"/>
        <v>111.03700000000003</v>
      </c>
      <c r="AD11" s="37">
        <f t="shared" si="9"/>
        <v>92.783000000000015</v>
      </c>
      <c r="AE11" s="19">
        <f t="shared" si="10"/>
        <v>822.66690000000017</v>
      </c>
      <c r="AF11" s="20">
        <f t="shared" si="11"/>
        <v>826.17060000000038</v>
      </c>
      <c r="AG11" s="80">
        <f t="shared" si="12"/>
        <v>4.258953411156092E-3</v>
      </c>
      <c r="AH11" s="84">
        <f t="shared" si="13"/>
        <v>0.13497200385721123</v>
      </c>
      <c r="AI11" s="85">
        <f t="shared" si="14"/>
        <v>0.11230489199204131</v>
      </c>
      <c r="AK11" s="12"/>
    </row>
    <row r="12" spans="1:37" ht="15" customHeight="1" x14ac:dyDescent="0.2">
      <c r="A12" s="65" t="s">
        <v>12</v>
      </c>
      <c r="B12" s="32">
        <v>640.33869999999979</v>
      </c>
      <c r="C12" s="32">
        <v>639.83010000000036</v>
      </c>
      <c r="D12" s="33">
        <f t="shared" si="0"/>
        <v>-7.942671589261011E-4</v>
      </c>
      <c r="E12" s="15"/>
      <c r="F12" s="13"/>
      <c r="G12" s="42"/>
      <c r="H12" s="13">
        <v>9.99</v>
      </c>
      <c r="I12" s="13">
        <v>8.7899999999999991</v>
      </c>
      <c r="J12" s="14">
        <f t="shared" si="1"/>
        <v>-0.12012012012012023</v>
      </c>
      <c r="K12" s="16">
        <v>17.89</v>
      </c>
      <c r="L12" s="13">
        <v>14.289</v>
      </c>
      <c r="M12" s="45">
        <f t="shared" si="2"/>
        <v>-0.20128563443264397</v>
      </c>
      <c r="N12" s="13">
        <v>14.13</v>
      </c>
      <c r="O12" s="13">
        <v>17.024999999999999</v>
      </c>
      <c r="P12" s="14">
        <f t="shared" si="3"/>
        <v>0.20488322717622065</v>
      </c>
      <c r="Q12" s="17"/>
      <c r="R12" s="13"/>
      <c r="S12" s="48"/>
      <c r="T12" s="13">
        <v>8.4480000000000004</v>
      </c>
      <c r="U12" s="13"/>
      <c r="V12" s="14">
        <f t="shared" si="5"/>
        <v>-1</v>
      </c>
      <c r="W12" s="18"/>
      <c r="X12" s="13"/>
      <c r="Y12" s="51"/>
      <c r="Z12" s="13">
        <v>4.1840000000000002</v>
      </c>
      <c r="AA12" s="13">
        <v>19.105</v>
      </c>
      <c r="AB12" s="14">
        <f t="shared" si="7"/>
        <v>3.5662045889101335</v>
      </c>
      <c r="AC12" s="38">
        <f t="shared" si="8"/>
        <v>54.641999999999939</v>
      </c>
      <c r="AD12" s="37">
        <f t="shared" si="9"/>
        <v>59.208999999999946</v>
      </c>
      <c r="AE12" s="19">
        <f t="shared" si="10"/>
        <v>694.98069999999973</v>
      </c>
      <c r="AF12" s="20">
        <f t="shared" si="11"/>
        <v>699.0391000000003</v>
      </c>
      <c r="AG12" s="80">
        <f t="shared" si="12"/>
        <v>5.8395866244927031E-3</v>
      </c>
      <c r="AH12" s="84">
        <f t="shared" si="13"/>
        <v>7.8623766098828304E-2</v>
      </c>
      <c r="AI12" s="85">
        <f t="shared" si="14"/>
        <v>8.4700555376659076E-2</v>
      </c>
      <c r="AK12" s="12"/>
    </row>
    <row r="13" spans="1:37" ht="15" customHeight="1" x14ac:dyDescent="0.2">
      <c r="A13" s="65" t="s">
        <v>13</v>
      </c>
      <c r="B13" s="32">
        <v>950.62</v>
      </c>
      <c r="C13" s="32">
        <v>1007.1999999999997</v>
      </c>
      <c r="D13" s="33">
        <f t="shared" si="0"/>
        <v>5.9519050724789822E-2</v>
      </c>
      <c r="E13" s="15"/>
      <c r="F13" s="13"/>
      <c r="G13" s="42"/>
      <c r="H13" s="13">
        <v>21.01</v>
      </c>
      <c r="I13" s="13">
        <v>23.870999999999999</v>
      </c>
      <c r="J13" s="14">
        <f t="shared" si="1"/>
        <v>0.13617325083293655</v>
      </c>
      <c r="K13" s="16">
        <v>33.549999999999997</v>
      </c>
      <c r="L13" s="13">
        <v>33.825000000000003</v>
      </c>
      <c r="M13" s="45">
        <f t="shared" si="2"/>
        <v>8.1967213114755803E-3</v>
      </c>
      <c r="N13" s="13">
        <v>34.32</v>
      </c>
      <c r="O13" s="13">
        <v>46.48</v>
      </c>
      <c r="P13" s="14">
        <f t="shared" si="3"/>
        <v>0.35431235431235419</v>
      </c>
      <c r="Q13" s="17"/>
      <c r="R13" s="13"/>
      <c r="S13" s="48"/>
      <c r="T13" s="13">
        <v>41.5</v>
      </c>
      <c r="U13" s="13">
        <v>28.619999999999997</v>
      </c>
      <c r="V13" s="14">
        <f t="shared" si="5"/>
        <v>-0.31036144578313257</v>
      </c>
      <c r="W13" s="18">
        <v>0.82</v>
      </c>
      <c r="X13" s="13"/>
      <c r="Y13" s="51">
        <f t="shared" si="6"/>
        <v>-1</v>
      </c>
      <c r="Z13" s="13">
        <v>9.9929999999999986</v>
      </c>
      <c r="AA13" s="13">
        <v>9.7430000000000003</v>
      </c>
      <c r="AB13" s="14">
        <f t="shared" si="7"/>
        <v>-2.5017512258580833E-2</v>
      </c>
      <c r="AC13" s="38">
        <f t="shared" si="8"/>
        <v>141.19299999999987</v>
      </c>
      <c r="AD13" s="37">
        <f t="shared" si="9"/>
        <v>142.53899999999987</v>
      </c>
      <c r="AE13" s="19">
        <f t="shared" si="10"/>
        <v>1091.8129999999999</v>
      </c>
      <c r="AF13" s="20">
        <f t="shared" si="11"/>
        <v>1149.7389999999996</v>
      </c>
      <c r="AG13" s="80">
        <f t="shared" si="12"/>
        <v>5.3054872949854698E-2</v>
      </c>
      <c r="AH13" s="84">
        <f t="shared" si="13"/>
        <v>0.12931976446516014</v>
      </c>
      <c r="AI13" s="85">
        <f t="shared" si="14"/>
        <v>0.12397509347773705</v>
      </c>
      <c r="AK13" s="12"/>
    </row>
    <row r="14" spans="1:37" ht="15" customHeight="1" x14ac:dyDescent="0.2">
      <c r="A14" s="65" t="s">
        <v>14</v>
      </c>
      <c r="B14" s="32">
        <v>449.97999999999996</v>
      </c>
      <c r="C14" s="32">
        <v>449.23999999999978</v>
      </c>
      <c r="D14" s="33">
        <f t="shared" si="0"/>
        <v>-1.6445175341130264E-3</v>
      </c>
      <c r="E14" s="15"/>
      <c r="F14" s="13"/>
      <c r="G14" s="42"/>
      <c r="H14" s="13">
        <v>18.02</v>
      </c>
      <c r="I14" s="13">
        <v>17.761000000000003</v>
      </c>
      <c r="J14" s="14">
        <f t="shared" si="1"/>
        <v>-1.4372918978912142E-2</v>
      </c>
      <c r="K14" s="16">
        <v>18.309999999999999</v>
      </c>
      <c r="L14" s="13">
        <v>14.442000000000002</v>
      </c>
      <c r="M14" s="45">
        <f t="shared" si="2"/>
        <v>-0.2112506826870561</v>
      </c>
      <c r="N14" s="13">
        <v>21.49</v>
      </c>
      <c r="O14" s="13">
        <v>20.5</v>
      </c>
      <c r="P14" s="14">
        <f t="shared" si="3"/>
        <v>-4.6067938576081831E-2</v>
      </c>
      <c r="Q14" s="17"/>
      <c r="R14" s="13"/>
      <c r="S14" s="48"/>
      <c r="T14" s="13"/>
      <c r="U14" s="13"/>
      <c r="V14" s="14"/>
      <c r="W14" s="18"/>
      <c r="X14" s="13"/>
      <c r="Y14" s="51"/>
      <c r="Z14" s="13">
        <v>2.8269999999999995</v>
      </c>
      <c r="AA14" s="13">
        <v>2.0470000000000002</v>
      </c>
      <c r="AB14" s="14">
        <f t="shared" si="7"/>
        <v>-0.27591085956844696</v>
      </c>
      <c r="AC14" s="38">
        <f t="shared" si="8"/>
        <v>60.646999999999991</v>
      </c>
      <c r="AD14" s="37">
        <f t="shared" si="9"/>
        <v>54.750000000000057</v>
      </c>
      <c r="AE14" s="19">
        <f t="shared" si="10"/>
        <v>510.62699999999995</v>
      </c>
      <c r="AF14" s="20">
        <f t="shared" si="11"/>
        <v>503.98999999999984</v>
      </c>
      <c r="AG14" s="80">
        <f t="shared" si="12"/>
        <v>-1.2997745908461783E-2</v>
      </c>
      <c r="AH14" s="84">
        <f t="shared" si="13"/>
        <v>0.11876966944560315</v>
      </c>
      <c r="AI14" s="85">
        <f t="shared" si="14"/>
        <v>0.10863310779975809</v>
      </c>
      <c r="AK14" s="12"/>
    </row>
    <row r="15" spans="1:37" ht="15" customHeight="1" x14ac:dyDescent="0.2">
      <c r="A15" s="65" t="s">
        <v>15</v>
      </c>
      <c r="B15" s="32">
        <v>853.82299999999998</v>
      </c>
      <c r="C15" s="32">
        <v>840.08800000000008</v>
      </c>
      <c r="D15" s="33">
        <f t="shared" si="0"/>
        <v>-1.6086472254788053E-2</v>
      </c>
      <c r="E15" s="15"/>
      <c r="F15" s="13"/>
      <c r="G15" s="42"/>
      <c r="H15" s="13">
        <v>14.69</v>
      </c>
      <c r="I15" s="13">
        <v>15.274999999999999</v>
      </c>
      <c r="J15" s="14">
        <f t="shared" si="1"/>
        <v>3.9823008849557459E-2</v>
      </c>
      <c r="K15" s="16">
        <v>17.98</v>
      </c>
      <c r="L15" s="13">
        <v>18.861000000000001</v>
      </c>
      <c r="M15" s="45">
        <f t="shared" si="2"/>
        <v>4.8998887652947729E-2</v>
      </c>
      <c r="N15" s="13">
        <v>30.38</v>
      </c>
      <c r="O15" s="13">
        <v>33.28</v>
      </c>
      <c r="P15" s="14">
        <f t="shared" si="3"/>
        <v>9.545753785385129E-2</v>
      </c>
      <c r="Q15" s="17"/>
      <c r="R15" s="13"/>
      <c r="S15" s="48"/>
      <c r="T15" s="13">
        <v>25.28</v>
      </c>
      <c r="U15" s="13">
        <v>22.360000000000003</v>
      </c>
      <c r="V15" s="14">
        <f t="shared" si="5"/>
        <v>-0.11550632911392397</v>
      </c>
      <c r="W15" s="18"/>
      <c r="X15" s="13"/>
      <c r="Y15" s="51"/>
      <c r="Z15" s="13">
        <v>2.5329999999999999</v>
      </c>
      <c r="AA15" s="13">
        <v>2.323</v>
      </c>
      <c r="AB15" s="14">
        <f t="shared" si="7"/>
        <v>-8.2905645479668361E-2</v>
      </c>
      <c r="AC15" s="38">
        <f t="shared" si="8"/>
        <v>90.863000000000056</v>
      </c>
      <c r="AD15" s="37">
        <f t="shared" si="9"/>
        <v>92.098999999999933</v>
      </c>
      <c r="AE15" s="19">
        <f t="shared" si="10"/>
        <v>944.68600000000004</v>
      </c>
      <c r="AF15" s="20">
        <f t="shared" si="11"/>
        <v>932.18700000000001</v>
      </c>
      <c r="AG15" s="80">
        <f t="shared" si="12"/>
        <v>-1.3230851309323969E-2</v>
      </c>
      <c r="AH15" s="84">
        <f t="shared" si="13"/>
        <v>9.6183282064093309E-2</v>
      </c>
      <c r="AI15" s="85">
        <f t="shared" si="14"/>
        <v>9.8798846154258671E-2</v>
      </c>
      <c r="AK15" s="12"/>
    </row>
    <row r="16" spans="1:37" ht="15" customHeight="1" x14ac:dyDescent="0.2">
      <c r="A16" s="65" t="s">
        <v>16</v>
      </c>
      <c r="B16" s="32">
        <v>3465.3880000000004</v>
      </c>
      <c r="C16" s="32">
        <v>3731.58</v>
      </c>
      <c r="D16" s="33">
        <f t="shared" si="0"/>
        <v>7.6814486574086224E-2</v>
      </c>
      <c r="E16" s="15"/>
      <c r="F16" s="13"/>
      <c r="G16" s="42"/>
      <c r="H16" s="13">
        <v>74.305000000000007</v>
      </c>
      <c r="I16" s="13">
        <v>73.036000000000001</v>
      </c>
      <c r="J16" s="14">
        <f t="shared" si="1"/>
        <v>-1.7078258529035804E-2</v>
      </c>
      <c r="K16" s="16">
        <v>114.74</v>
      </c>
      <c r="L16" s="13">
        <v>112.759</v>
      </c>
      <c r="M16" s="45">
        <f t="shared" si="2"/>
        <v>-1.7265121143454722E-2</v>
      </c>
      <c r="N16" s="13">
        <v>99.64</v>
      </c>
      <c r="O16" s="13">
        <v>110.29</v>
      </c>
      <c r="P16" s="14">
        <f t="shared" si="3"/>
        <v>0.10688478522681659</v>
      </c>
      <c r="Q16" s="17"/>
      <c r="R16" s="13"/>
      <c r="S16" s="48"/>
      <c r="T16" s="13">
        <v>124.459</v>
      </c>
      <c r="U16" s="13">
        <v>133.36999999999998</v>
      </c>
      <c r="V16" s="14">
        <f t="shared" si="5"/>
        <v>7.1597875605620906E-2</v>
      </c>
      <c r="W16" s="18"/>
      <c r="X16" s="13"/>
      <c r="Y16" s="51"/>
      <c r="Z16" s="13">
        <v>10.54</v>
      </c>
      <c r="AA16" s="13">
        <v>14.06</v>
      </c>
      <c r="AB16" s="14">
        <f t="shared" si="7"/>
        <v>0.33396584440227717</v>
      </c>
      <c r="AC16" s="38">
        <f t="shared" si="8"/>
        <v>423.68399999999929</v>
      </c>
      <c r="AD16" s="37">
        <f t="shared" si="9"/>
        <v>443.51500000000033</v>
      </c>
      <c r="AE16" s="19">
        <f t="shared" si="10"/>
        <v>3889.0719999999997</v>
      </c>
      <c r="AF16" s="20">
        <f t="shared" si="11"/>
        <v>4175.0950000000003</v>
      </c>
      <c r="AG16" s="80">
        <f t="shared" si="12"/>
        <v>7.3545308495188727E-2</v>
      </c>
      <c r="AH16" s="84">
        <f t="shared" si="13"/>
        <v>0.10894218466513331</v>
      </c>
      <c r="AI16" s="85">
        <f t="shared" si="14"/>
        <v>0.1062287205440835</v>
      </c>
      <c r="AK16" s="12"/>
    </row>
    <row r="17" spans="1:37" ht="15" customHeight="1" x14ac:dyDescent="0.2">
      <c r="A17" s="65" t="s">
        <v>17</v>
      </c>
      <c r="B17" s="32">
        <v>4822.6789999999992</v>
      </c>
      <c r="C17" s="32">
        <v>4873.7240000000029</v>
      </c>
      <c r="D17" s="33">
        <f t="shared" si="0"/>
        <v>1.0584366075370912E-2</v>
      </c>
      <c r="E17" s="15"/>
      <c r="F17" s="13"/>
      <c r="G17" s="42"/>
      <c r="H17" s="13">
        <v>43.55</v>
      </c>
      <c r="I17" s="13">
        <v>46.049000000000007</v>
      </c>
      <c r="J17" s="14">
        <f t="shared" si="1"/>
        <v>5.7382319173364171E-2</v>
      </c>
      <c r="K17" s="16">
        <v>74.11</v>
      </c>
      <c r="L17" s="13">
        <v>77.023999999999987</v>
      </c>
      <c r="M17" s="45">
        <f t="shared" si="2"/>
        <v>3.931992983403032E-2</v>
      </c>
      <c r="N17" s="13">
        <v>50.65</v>
      </c>
      <c r="O17" s="13">
        <v>45.17</v>
      </c>
      <c r="P17" s="14">
        <f t="shared" si="3"/>
        <v>-0.10819348469891406</v>
      </c>
      <c r="Q17" s="17">
        <v>8.18</v>
      </c>
      <c r="R17" s="13">
        <v>18.096</v>
      </c>
      <c r="S17" s="48">
        <f t="shared" si="4"/>
        <v>1.2122249388753057</v>
      </c>
      <c r="T17" s="13">
        <v>113.13</v>
      </c>
      <c r="U17" s="13">
        <v>100.66399999999999</v>
      </c>
      <c r="V17" s="14">
        <f t="shared" si="5"/>
        <v>-0.11019181472642101</v>
      </c>
      <c r="W17" s="18">
        <v>121.316</v>
      </c>
      <c r="X17" s="13">
        <v>186.65199999999999</v>
      </c>
      <c r="Y17" s="51">
        <f t="shared" si="6"/>
        <v>0.53856045369118655</v>
      </c>
      <c r="Z17" s="13">
        <v>54.320999999999998</v>
      </c>
      <c r="AA17" s="13">
        <v>49.219000000000001</v>
      </c>
      <c r="AB17" s="14">
        <f t="shared" si="7"/>
        <v>-9.3923160472008924E-2</v>
      </c>
      <c r="AC17" s="38">
        <f t="shared" si="8"/>
        <v>465.25699999999961</v>
      </c>
      <c r="AD17" s="37">
        <f t="shared" si="9"/>
        <v>522.8739999999998</v>
      </c>
      <c r="AE17" s="19">
        <f t="shared" si="10"/>
        <v>5287.9359999999988</v>
      </c>
      <c r="AF17" s="20">
        <f t="shared" si="11"/>
        <v>5396.5980000000027</v>
      </c>
      <c r="AG17" s="80">
        <f t="shared" si="12"/>
        <v>2.0549038414989125E-2</v>
      </c>
      <c r="AH17" s="84">
        <f t="shared" si="13"/>
        <v>8.7984612521785382E-2</v>
      </c>
      <c r="AI17" s="85">
        <f t="shared" si="14"/>
        <v>9.6889558940651044E-2</v>
      </c>
      <c r="AK17" s="12"/>
    </row>
    <row r="18" spans="1:37" ht="15" customHeight="1" x14ac:dyDescent="0.2">
      <c r="A18" s="65" t="s">
        <v>18</v>
      </c>
      <c r="B18" s="32">
        <v>443.88200000000001</v>
      </c>
      <c r="C18" s="32">
        <v>512.41199999999992</v>
      </c>
      <c r="D18" s="33">
        <f t="shared" si="0"/>
        <v>0.15438787785943092</v>
      </c>
      <c r="E18" s="15"/>
      <c r="F18" s="13"/>
      <c r="G18" s="42"/>
      <c r="H18" s="13">
        <v>14.24</v>
      </c>
      <c r="I18" s="13">
        <v>14.92</v>
      </c>
      <c r="J18" s="14">
        <f t="shared" si="1"/>
        <v>4.7752808988764023E-2</v>
      </c>
      <c r="K18" s="16">
        <v>17.93</v>
      </c>
      <c r="L18" s="13">
        <v>22.177</v>
      </c>
      <c r="M18" s="45">
        <f t="shared" si="2"/>
        <v>0.23686558839933072</v>
      </c>
      <c r="N18" s="13">
        <v>19.239999999999998</v>
      </c>
      <c r="O18" s="13">
        <v>10.59</v>
      </c>
      <c r="P18" s="14">
        <f t="shared" si="3"/>
        <v>-0.44958419958419954</v>
      </c>
      <c r="Q18" s="17">
        <v>0.505</v>
      </c>
      <c r="R18" s="13">
        <v>0.505</v>
      </c>
      <c r="S18" s="48">
        <f t="shared" si="4"/>
        <v>0</v>
      </c>
      <c r="T18" s="13">
        <v>23.39</v>
      </c>
      <c r="U18" s="13">
        <v>13.52</v>
      </c>
      <c r="V18" s="14">
        <f t="shared" si="5"/>
        <v>-0.4219752030782386</v>
      </c>
      <c r="W18" s="18">
        <v>1.8480000000000001</v>
      </c>
      <c r="X18" s="13">
        <v>1.8230000000000002</v>
      </c>
      <c r="Y18" s="51">
        <f t="shared" si="6"/>
        <v>-1.3528138528138479E-2</v>
      </c>
      <c r="Z18" s="13">
        <v>6.7644000000000002</v>
      </c>
      <c r="AA18" s="13">
        <v>12.8565</v>
      </c>
      <c r="AB18" s="14">
        <f t="shared" si="7"/>
        <v>0.90061202767429482</v>
      </c>
      <c r="AC18" s="38">
        <f t="shared" si="8"/>
        <v>83.917399999999986</v>
      </c>
      <c r="AD18" s="37">
        <f t="shared" si="9"/>
        <v>76.391499999999951</v>
      </c>
      <c r="AE18" s="19">
        <f t="shared" si="10"/>
        <v>527.79939999999999</v>
      </c>
      <c r="AF18" s="20">
        <f t="shared" si="11"/>
        <v>588.80349999999987</v>
      </c>
      <c r="AG18" s="80">
        <f t="shared" si="12"/>
        <v>0.11558198057822704</v>
      </c>
      <c r="AH18" s="84">
        <f t="shared" si="13"/>
        <v>0.15899487570467111</v>
      </c>
      <c r="AI18" s="85">
        <f t="shared" si="14"/>
        <v>0.12974022742731653</v>
      </c>
      <c r="AK18" s="12"/>
    </row>
    <row r="19" spans="1:37" ht="15" customHeight="1" x14ac:dyDescent="0.2">
      <c r="A19" s="65" t="s">
        <v>19</v>
      </c>
      <c r="B19" s="32">
        <v>4556.5600000000004</v>
      </c>
      <c r="C19" s="32">
        <v>4619.5000000000009</v>
      </c>
      <c r="D19" s="33">
        <f t="shared" si="0"/>
        <v>1.3813051951472274E-2</v>
      </c>
      <c r="E19" s="15">
        <v>442.08</v>
      </c>
      <c r="F19" s="13">
        <v>459.69999999999987</v>
      </c>
      <c r="G19" s="42">
        <f t="shared" si="15"/>
        <v>3.985703944987308E-2</v>
      </c>
      <c r="H19" s="13">
        <v>201.57</v>
      </c>
      <c r="I19" s="13">
        <v>176.17200000000003</v>
      </c>
      <c r="J19" s="14">
        <f>+(I19-H19)/H19</f>
        <v>-0.12600089299002812</v>
      </c>
      <c r="K19" s="16">
        <v>241.94</v>
      </c>
      <c r="L19" s="13">
        <v>251.60899999999992</v>
      </c>
      <c r="M19" s="45">
        <f t="shared" si="2"/>
        <v>3.9964453996858419E-2</v>
      </c>
      <c r="N19" s="13">
        <v>166.4</v>
      </c>
      <c r="O19" s="13">
        <v>211.7</v>
      </c>
      <c r="P19" s="14">
        <f t="shared" si="3"/>
        <v>0.27223557692307682</v>
      </c>
      <c r="Q19" s="17">
        <v>243.87800000000001</v>
      </c>
      <c r="R19" s="13">
        <v>301.75800000000004</v>
      </c>
      <c r="S19" s="48">
        <f t="shared" si="4"/>
        <v>0.23733178064442065</v>
      </c>
      <c r="T19" s="13">
        <v>84.119</v>
      </c>
      <c r="U19" s="13">
        <v>78.972000000000008</v>
      </c>
      <c r="V19" s="14">
        <f t="shared" si="5"/>
        <v>-6.1187127759483484E-2</v>
      </c>
      <c r="W19" s="18">
        <v>146.5</v>
      </c>
      <c r="X19" s="13">
        <v>153.92400000000001</v>
      </c>
      <c r="Y19" s="51">
        <f t="shared" si="6"/>
        <v>5.0675767918088782E-2</v>
      </c>
      <c r="Z19" s="13">
        <v>817.89099999999996</v>
      </c>
      <c r="AA19" s="13">
        <v>391.54199999999997</v>
      </c>
      <c r="AB19" s="14">
        <f t="shared" si="7"/>
        <v>-0.52127850777181806</v>
      </c>
      <c r="AC19" s="38">
        <f t="shared" si="8"/>
        <v>2344.3779999999979</v>
      </c>
      <c r="AD19" s="37">
        <f t="shared" si="9"/>
        <v>2025.3770000000004</v>
      </c>
      <c r="AE19" s="19">
        <f t="shared" si="10"/>
        <v>6900.9379999999983</v>
      </c>
      <c r="AF19" s="20">
        <f t="shared" si="11"/>
        <v>6644.8770000000013</v>
      </c>
      <c r="AG19" s="80">
        <f t="shared" si="12"/>
        <v>-3.7105245692686563E-2</v>
      </c>
      <c r="AH19" s="84">
        <f t="shared" si="13"/>
        <v>0.33971874548068659</v>
      </c>
      <c r="AI19" s="85">
        <f t="shared" si="14"/>
        <v>0.30480278265496863</v>
      </c>
      <c r="AK19" s="12"/>
    </row>
    <row r="20" spans="1:37" ht="15" customHeight="1" x14ac:dyDescent="0.2">
      <c r="A20" s="65" t="s">
        <v>20</v>
      </c>
      <c r="B20" s="32">
        <v>574.30799999999999</v>
      </c>
      <c r="C20" s="32">
        <v>484.40000000000003</v>
      </c>
      <c r="D20" s="33">
        <f t="shared" si="0"/>
        <v>-0.15655014382526442</v>
      </c>
      <c r="E20" s="15"/>
      <c r="F20" s="13"/>
      <c r="G20" s="42"/>
      <c r="H20" s="13">
        <v>12.96</v>
      </c>
      <c r="I20" s="13">
        <v>14.713000000000001</v>
      </c>
      <c r="J20" s="14">
        <f t="shared" si="1"/>
        <v>0.13526234567901235</v>
      </c>
      <c r="K20" s="16">
        <v>15.65</v>
      </c>
      <c r="L20" s="13">
        <v>14.708000000000002</v>
      </c>
      <c r="M20" s="45">
        <f t="shared" si="2"/>
        <v>-6.0191693290734719E-2</v>
      </c>
      <c r="N20" s="13">
        <v>30.13</v>
      </c>
      <c r="O20" s="13">
        <v>33.06</v>
      </c>
      <c r="P20" s="14">
        <f t="shared" si="3"/>
        <v>9.7245270494523847E-2</v>
      </c>
      <c r="Q20" s="17"/>
      <c r="R20" s="13"/>
      <c r="S20" s="48"/>
      <c r="T20" s="13">
        <v>25.82</v>
      </c>
      <c r="U20" s="13">
        <v>25.699999999999996</v>
      </c>
      <c r="V20" s="14">
        <f t="shared" si="5"/>
        <v>-4.6475600309839092E-3</v>
      </c>
      <c r="W20" s="18"/>
      <c r="X20" s="13"/>
      <c r="Y20" s="51"/>
      <c r="Z20" s="13">
        <v>3.1980000000000004</v>
      </c>
      <c r="AA20" s="13">
        <v>1.5369999999999999</v>
      </c>
      <c r="AB20" s="14">
        <f t="shared" si="7"/>
        <v>-0.5193871169480927</v>
      </c>
      <c r="AC20" s="38">
        <f t="shared" si="8"/>
        <v>87.758000000000038</v>
      </c>
      <c r="AD20" s="37">
        <f t="shared" si="9"/>
        <v>89.718000000000131</v>
      </c>
      <c r="AE20" s="19">
        <f t="shared" si="10"/>
        <v>662.06600000000003</v>
      </c>
      <c r="AF20" s="20">
        <f t="shared" si="11"/>
        <v>574.11800000000017</v>
      </c>
      <c r="AG20" s="80">
        <f t="shared" si="12"/>
        <v>-0.1328387200067665</v>
      </c>
      <c r="AH20" s="84">
        <f t="shared" si="13"/>
        <v>0.13255173955466681</v>
      </c>
      <c r="AI20" s="85">
        <f t="shared" si="14"/>
        <v>0.15627101048913308</v>
      </c>
      <c r="AK20" s="12"/>
    </row>
    <row r="21" spans="1:37" ht="15" customHeight="1" x14ac:dyDescent="0.2">
      <c r="A21" s="65" t="s">
        <v>21</v>
      </c>
      <c r="B21" s="32">
        <v>9555.68</v>
      </c>
      <c r="C21" s="32">
        <v>9580.4800000000141</v>
      </c>
      <c r="D21" s="33">
        <f t="shared" si="0"/>
        <v>2.5953150377590944E-3</v>
      </c>
      <c r="E21" s="15">
        <v>121.94</v>
      </c>
      <c r="F21" s="13">
        <v>97.899999999999949</v>
      </c>
      <c r="G21" s="42">
        <f t="shared" si="15"/>
        <v>-0.19714613744464532</v>
      </c>
      <c r="H21" s="13">
        <v>290.72500000000002</v>
      </c>
      <c r="I21" s="13">
        <v>277.41500000000002</v>
      </c>
      <c r="J21" s="14">
        <f t="shared" si="1"/>
        <v>-4.5782096482930607E-2</v>
      </c>
      <c r="K21" s="16">
        <v>443.17</v>
      </c>
      <c r="L21" s="13">
        <v>434.08699999999999</v>
      </c>
      <c r="M21" s="45">
        <f t="shared" si="2"/>
        <v>-2.0495520906198585E-2</v>
      </c>
      <c r="N21" s="13">
        <v>383.42</v>
      </c>
      <c r="O21" s="13">
        <v>380.22</v>
      </c>
      <c r="P21" s="14">
        <f t="shared" si="3"/>
        <v>-8.3459391789682032E-3</v>
      </c>
      <c r="Q21" s="17">
        <v>305.32</v>
      </c>
      <c r="R21" s="13">
        <v>307.26</v>
      </c>
      <c r="S21" s="48">
        <f t="shared" si="4"/>
        <v>6.3539892571727952E-3</v>
      </c>
      <c r="T21" s="13">
        <v>343.4</v>
      </c>
      <c r="U21" s="13">
        <v>340.00000000000011</v>
      </c>
      <c r="V21" s="14">
        <f t="shared" si="5"/>
        <v>-9.9009900990095039E-3</v>
      </c>
      <c r="W21" s="18">
        <v>245.84</v>
      </c>
      <c r="X21" s="13">
        <v>273.44000000000005</v>
      </c>
      <c r="Y21" s="51">
        <f t="shared" si="6"/>
        <v>0.11226814188089836</v>
      </c>
      <c r="Z21" s="13">
        <v>126.12</v>
      </c>
      <c r="AA21" s="13">
        <v>80.8</v>
      </c>
      <c r="AB21" s="14">
        <f t="shared" si="7"/>
        <v>-0.35934031081509676</v>
      </c>
      <c r="AC21" s="38">
        <f t="shared" si="8"/>
        <v>2259.9350000000013</v>
      </c>
      <c r="AD21" s="37">
        <f t="shared" si="9"/>
        <v>2191.1219999999994</v>
      </c>
      <c r="AE21" s="19">
        <f t="shared" si="10"/>
        <v>11815.615000000002</v>
      </c>
      <c r="AF21" s="20">
        <f t="shared" si="11"/>
        <v>11771.602000000014</v>
      </c>
      <c r="AG21" s="80">
        <f t="shared" si="12"/>
        <v>-3.7249859613729874E-3</v>
      </c>
      <c r="AH21" s="84">
        <f t="shared" si="13"/>
        <v>0.19126681091081599</v>
      </c>
      <c r="AI21" s="85">
        <f t="shared" si="14"/>
        <v>0.18613626250700599</v>
      </c>
      <c r="AK21" s="12"/>
    </row>
    <row r="22" spans="1:37" ht="15" customHeight="1" x14ac:dyDescent="0.2">
      <c r="A22" s="65" t="s">
        <v>22</v>
      </c>
      <c r="B22" s="32">
        <v>1612.6310000000001</v>
      </c>
      <c r="C22" s="32">
        <v>1569.9409999999991</v>
      </c>
      <c r="D22" s="33">
        <f t="shared" si="0"/>
        <v>-2.6472267989391847E-2</v>
      </c>
      <c r="E22" s="15">
        <v>7.04</v>
      </c>
      <c r="F22" s="13">
        <v>5.4</v>
      </c>
      <c r="G22" s="42">
        <f t="shared" si="15"/>
        <v>-0.23295454545454541</v>
      </c>
      <c r="H22" s="13">
        <v>32.43</v>
      </c>
      <c r="I22" s="13">
        <v>37.956000000000003</v>
      </c>
      <c r="J22" s="14">
        <f t="shared" si="1"/>
        <v>0.17039777983348761</v>
      </c>
      <c r="K22" s="16">
        <v>56.685000000000002</v>
      </c>
      <c r="L22" s="13">
        <v>61.923000000000009</v>
      </c>
      <c r="M22" s="45">
        <f t="shared" si="2"/>
        <v>9.2405398253506327E-2</v>
      </c>
      <c r="N22" s="13">
        <v>66.75</v>
      </c>
      <c r="O22" s="13">
        <v>69.710000000000008</v>
      </c>
      <c r="P22" s="14">
        <f t="shared" si="3"/>
        <v>4.4344569288389632E-2</v>
      </c>
      <c r="Q22" s="17">
        <v>98.058999999999997</v>
      </c>
      <c r="R22" s="13">
        <v>90.77600000000001</v>
      </c>
      <c r="S22" s="48">
        <f t="shared" si="4"/>
        <v>-7.4271611988700553E-2</v>
      </c>
      <c r="T22" s="13">
        <v>143.899</v>
      </c>
      <c r="U22" s="13">
        <v>159.92399999999998</v>
      </c>
      <c r="V22" s="14">
        <f t="shared" si="5"/>
        <v>0.11136283087443261</v>
      </c>
      <c r="W22" s="18">
        <v>233.63300000000001</v>
      </c>
      <c r="X22" s="13">
        <v>224.51399999999998</v>
      </c>
      <c r="Y22" s="51">
        <f t="shared" si="6"/>
        <v>-3.9031301228850498E-2</v>
      </c>
      <c r="Z22" s="13">
        <v>154.0078</v>
      </c>
      <c r="AA22" s="13">
        <v>159.60040000000006</v>
      </c>
      <c r="AB22" s="14">
        <f t="shared" si="7"/>
        <v>3.631374514797342E-2</v>
      </c>
      <c r="AC22" s="38">
        <f t="shared" si="8"/>
        <v>792.50379999999973</v>
      </c>
      <c r="AD22" s="37">
        <f t="shared" si="9"/>
        <v>809.80340000000047</v>
      </c>
      <c r="AE22" s="19">
        <f t="shared" si="10"/>
        <v>2405.1347999999998</v>
      </c>
      <c r="AF22" s="20">
        <f t="shared" si="11"/>
        <v>2379.7443999999996</v>
      </c>
      <c r="AG22" s="80">
        <f t="shared" si="12"/>
        <v>-1.0556747172757314E-2</v>
      </c>
      <c r="AH22" s="84">
        <f t="shared" si="13"/>
        <v>0.32950494084572712</v>
      </c>
      <c r="AI22" s="85">
        <f t="shared" si="14"/>
        <v>0.34029007485005558</v>
      </c>
      <c r="AK22" s="12"/>
    </row>
    <row r="23" spans="1:37" ht="15" customHeight="1" x14ac:dyDescent="0.2">
      <c r="A23" s="65" t="s">
        <v>23</v>
      </c>
      <c r="B23" s="32">
        <v>1225.2842000000001</v>
      </c>
      <c r="C23" s="32">
        <v>1184.9473999999987</v>
      </c>
      <c r="D23" s="33">
        <f t="shared" si="0"/>
        <v>-3.2920362475906732E-2</v>
      </c>
      <c r="E23" s="15"/>
      <c r="F23" s="13"/>
      <c r="G23" s="42"/>
      <c r="H23" s="13">
        <v>35.11</v>
      </c>
      <c r="I23" s="13">
        <v>36.149000000000001</v>
      </c>
      <c r="J23" s="14">
        <f t="shared" si="1"/>
        <v>2.9592708630019979E-2</v>
      </c>
      <c r="K23" s="16">
        <v>65.765000000000001</v>
      </c>
      <c r="L23" s="13">
        <v>65.653000000000006</v>
      </c>
      <c r="M23" s="45">
        <f t="shared" si="2"/>
        <v>-1.7030335284725123E-3</v>
      </c>
      <c r="N23" s="13">
        <v>46.31</v>
      </c>
      <c r="O23" s="13">
        <v>45.379999999999995</v>
      </c>
      <c r="P23" s="14">
        <f t="shared" si="3"/>
        <v>-2.008205571150954E-2</v>
      </c>
      <c r="Q23" s="17">
        <v>51.954000000000001</v>
      </c>
      <c r="R23" s="13">
        <v>57.924000000000014</v>
      </c>
      <c r="S23" s="48">
        <f t="shared" si="4"/>
        <v>0.11490934288024046</v>
      </c>
      <c r="T23" s="13">
        <v>158.66499999999999</v>
      </c>
      <c r="U23" s="13">
        <v>162.09100000000001</v>
      </c>
      <c r="V23" s="14">
        <f t="shared" si="5"/>
        <v>2.1592663788485275E-2</v>
      </c>
      <c r="W23" s="18">
        <v>105.739</v>
      </c>
      <c r="X23" s="13">
        <v>114.93300000000001</v>
      </c>
      <c r="Y23" s="51">
        <f t="shared" si="6"/>
        <v>8.6949942783646553E-2</v>
      </c>
      <c r="Z23" s="13">
        <v>189.08599999999998</v>
      </c>
      <c r="AA23" s="13">
        <v>167.02799999999999</v>
      </c>
      <c r="AB23" s="14">
        <f t="shared" si="7"/>
        <v>-0.11665591318236143</v>
      </c>
      <c r="AC23" s="38">
        <f t="shared" si="8"/>
        <v>652.62899999999991</v>
      </c>
      <c r="AD23" s="37">
        <f t="shared" si="9"/>
        <v>649.15799999999967</v>
      </c>
      <c r="AE23" s="19">
        <f t="shared" si="10"/>
        <v>1877.9132</v>
      </c>
      <c r="AF23" s="20">
        <f t="shared" si="11"/>
        <v>1834.1053999999983</v>
      </c>
      <c r="AG23" s="80">
        <f t="shared" si="12"/>
        <v>-2.3327915262538031E-2</v>
      </c>
      <c r="AH23" s="84">
        <f t="shared" si="13"/>
        <v>0.34752884212113738</v>
      </c>
      <c r="AI23" s="85">
        <f t="shared" si="14"/>
        <v>0.35393712924022813</v>
      </c>
      <c r="AK23" s="12"/>
    </row>
    <row r="24" spans="1:37" ht="15" customHeight="1" x14ac:dyDescent="0.2">
      <c r="A24" s="65" t="s">
        <v>24</v>
      </c>
      <c r="B24" s="32">
        <v>2222.6600000000003</v>
      </c>
      <c r="C24" s="32">
        <v>2292.550000000002</v>
      </c>
      <c r="D24" s="33">
        <f t="shared" si="0"/>
        <v>3.1444305471822809E-2</v>
      </c>
      <c r="E24" s="15"/>
      <c r="F24" s="13"/>
      <c r="G24" s="42"/>
      <c r="H24" s="13">
        <v>41.1</v>
      </c>
      <c r="I24" s="13">
        <v>41.367999999999995</v>
      </c>
      <c r="J24" s="14">
        <f t="shared" si="1"/>
        <v>6.5206812652066565E-3</v>
      </c>
      <c r="K24" s="16">
        <v>49.84</v>
      </c>
      <c r="L24" s="13">
        <v>65.617000000000004</v>
      </c>
      <c r="M24" s="45">
        <f t="shared" si="2"/>
        <v>0.31655296950240769</v>
      </c>
      <c r="N24" s="13">
        <v>64.84</v>
      </c>
      <c r="O24" s="13">
        <v>80.16</v>
      </c>
      <c r="P24" s="14">
        <f t="shared" si="3"/>
        <v>0.23627390499691536</v>
      </c>
      <c r="Q24" s="17">
        <v>7.0730000000000004</v>
      </c>
      <c r="R24" s="13">
        <v>7.0579999999999998</v>
      </c>
      <c r="S24" s="48">
        <f t="shared" si="4"/>
        <v>-2.1207408454687639E-3</v>
      </c>
      <c r="T24" s="13">
        <v>30.346</v>
      </c>
      <c r="U24" s="13">
        <v>20.820999999999994</v>
      </c>
      <c r="V24" s="14">
        <f t="shared" si="5"/>
        <v>-0.31387991827588496</v>
      </c>
      <c r="W24" s="18">
        <v>27.655000000000001</v>
      </c>
      <c r="X24" s="13">
        <v>26.407</v>
      </c>
      <c r="Y24" s="51">
        <f t="shared" si="6"/>
        <v>-4.5127463388175776E-2</v>
      </c>
      <c r="Z24" s="13">
        <v>67.398999999999987</v>
      </c>
      <c r="AA24" s="13">
        <v>65.596100000000007</v>
      </c>
      <c r="AB24" s="14">
        <f t="shared" si="7"/>
        <v>-2.674965503939198E-2</v>
      </c>
      <c r="AC24" s="38">
        <f t="shared" si="8"/>
        <v>288.25300000000016</v>
      </c>
      <c r="AD24" s="37">
        <f t="shared" si="9"/>
        <v>307.02710000000025</v>
      </c>
      <c r="AE24" s="19">
        <f t="shared" si="10"/>
        <v>2510.9130000000005</v>
      </c>
      <c r="AF24" s="20">
        <f t="shared" si="11"/>
        <v>2599.5771000000022</v>
      </c>
      <c r="AG24" s="80">
        <f t="shared" si="12"/>
        <v>3.5311498247849196E-2</v>
      </c>
      <c r="AH24" s="84">
        <f t="shared" si="13"/>
        <v>0.1148000747138591</v>
      </c>
      <c r="AI24" s="85">
        <f t="shared" si="14"/>
        <v>0.11810655663953955</v>
      </c>
      <c r="AK24" s="12"/>
    </row>
    <row r="25" spans="1:37" ht="15" customHeight="1" x14ac:dyDescent="0.2">
      <c r="A25" s="65" t="s">
        <v>25</v>
      </c>
      <c r="B25" s="32">
        <v>5464.64</v>
      </c>
      <c r="C25" s="32">
        <v>5621.2600000000039</v>
      </c>
      <c r="D25" s="33">
        <f t="shared" si="0"/>
        <v>2.8660625402588919E-2</v>
      </c>
      <c r="E25" s="15">
        <v>255.06</v>
      </c>
      <c r="F25" s="13">
        <v>240.38000000000005</v>
      </c>
      <c r="G25" s="42">
        <f t="shared" si="15"/>
        <v>-5.7555085078020658E-2</v>
      </c>
      <c r="H25" s="13">
        <v>210.58</v>
      </c>
      <c r="I25" s="13">
        <v>184.48400000000001</v>
      </c>
      <c r="J25" s="14">
        <f t="shared" si="1"/>
        <v>-0.12392439927818408</v>
      </c>
      <c r="K25" s="16">
        <v>281.16000000000003</v>
      </c>
      <c r="L25" s="13">
        <v>283.50399999999996</v>
      </c>
      <c r="M25" s="45">
        <f t="shared" si="2"/>
        <v>8.3368900270306481E-3</v>
      </c>
      <c r="N25" s="13">
        <v>163.01</v>
      </c>
      <c r="O25" s="13">
        <v>168.93</v>
      </c>
      <c r="P25" s="14">
        <f t="shared" si="3"/>
        <v>3.6316790380958322E-2</v>
      </c>
      <c r="Q25" s="17">
        <v>45.82</v>
      </c>
      <c r="R25" s="13">
        <v>27.679999999999996</v>
      </c>
      <c r="S25" s="48">
        <f t="shared" si="4"/>
        <v>-0.3958969882147535</v>
      </c>
      <c r="T25" s="13">
        <v>247.3</v>
      </c>
      <c r="U25" s="13">
        <v>237.77999999999997</v>
      </c>
      <c r="V25" s="14">
        <f t="shared" si="5"/>
        <v>-3.8495754144763597E-2</v>
      </c>
      <c r="W25" s="18">
        <v>629.1</v>
      </c>
      <c r="X25" s="13">
        <v>105.67999999999999</v>
      </c>
      <c r="Y25" s="51">
        <f t="shared" si="6"/>
        <v>-0.83201398823716433</v>
      </c>
      <c r="Z25" s="13">
        <v>17.3</v>
      </c>
      <c r="AA25" s="13">
        <v>41.23</v>
      </c>
      <c r="AB25" s="14">
        <f t="shared" si="7"/>
        <v>1.383236994219653</v>
      </c>
      <c r="AC25" s="38">
        <f t="shared" si="8"/>
        <v>1849.3300000000008</v>
      </c>
      <c r="AD25" s="37">
        <f t="shared" si="9"/>
        <v>1289.6680000000006</v>
      </c>
      <c r="AE25" s="19">
        <f t="shared" si="10"/>
        <v>7313.9700000000012</v>
      </c>
      <c r="AF25" s="20">
        <f t="shared" si="11"/>
        <v>6910.9280000000044</v>
      </c>
      <c r="AG25" s="80">
        <f t="shared" si="12"/>
        <v>-5.5105777026703238E-2</v>
      </c>
      <c r="AH25" s="84">
        <f t="shared" si="13"/>
        <v>0.25284899992753601</v>
      </c>
      <c r="AI25" s="85">
        <f t="shared" si="14"/>
        <v>0.18661285430842281</v>
      </c>
      <c r="AK25" s="12"/>
    </row>
    <row r="26" spans="1:37" ht="15" customHeight="1" x14ac:dyDescent="0.2">
      <c r="A26" s="65" t="s">
        <v>26</v>
      </c>
      <c r="B26" s="32">
        <v>2828</v>
      </c>
      <c r="C26" s="32">
        <v>2957.2600000000007</v>
      </c>
      <c r="D26" s="33">
        <f t="shared" si="0"/>
        <v>4.5707213578500945E-2</v>
      </c>
      <c r="E26" s="15"/>
      <c r="F26" s="13"/>
      <c r="G26" s="42"/>
      <c r="H26" s="13">
        <v>61.32</v>
      </c>
      <c r="I26" s="13">
        <v>68.385999999999996</v>
      </c>
      <c r="J26" s="14">
        <f t="shared" si="1"/>
        <v>0.11523157208088708</v>
      </c>
      <c r="K26" s="16">
        <v>84.77</v>
      </c>
      <c r="L26" s="13">
        <v>100.03899999999999</v>
      </c>
      <c r="M26" s="45">
        <f t="shared" si="2"/>
        <v>0.18012268491211503</v>
      </c>
      <c r="N26" s="13">
        <v>117.54</v>
      </c>
      <c r="O26" s="13">
        <v>135.44999999999999</v>
      </c>
      <c r="P26" s="14">
        <f t="shared" si="3"/>
        <v>0.15237366003062772</v>
      </c>
      <c r="Q26" s="17">
        <v>86.043000000000006</v>
      </c>
      <c r="R26" s="13">
        <v>94.86399999999999</v>
      </c>
      <c r="S26" s="48">
        <f t="shared" si="4"/>
        <v>0.10251850818776638</v>
      </c>
      <c r="T26" s="13">
        <v>174.357</v>
      </c>
      <c r="U26" s="13">
        <v>173.32499999999996</v>
      </c>
      <c r="V26" s="14">
        <f t="shared" si="5"/>
        <v>-5.9188905521432413E-3</v>
      </c>
      <c r="W26" s="18">
        <v>130.56700000000001</v>
      </c>
      <c r="X26" s="13">
        <v>156.54600000000002</v>
      </c>
      <c r="Y26" s="51">
        <f t="shared" si="6"/>
        <v>0.19897064342444884</v>
      </c>
      <c r="Z26" s="13">
        <v>53.554400000000008</v>
      </c>
      <c r="AA26" s="13">
        <v>102.43729999999999</v>
      </c>
      <c r="AB26" s="14">
        <f t="shared" si="7"/>
        <v>0.91277093945595467</v>
      </c>
      <c r="AC26" s="38">
        <f t="shared" si="8"/>
        <v>708.15140000000019</v>
      </c>
      <c r="AD26" s="37">
        <f t="shared" si="9"/>
        <v>831.04729999999927</v>
      </c>
      <c r="AE26" s="19">
        <f t="shared" si="10"/>
        <v>3536.1514000000002</v>
      </c>
      <c r="AF26" s="20">
        <f t="shared" si="11"/>
        <v>3788.3072999999999</v>
      </c>
      <c r="AG26" s="80">
        <f t="shared" si="12"/>
        <v>7.1308004515869924E-2</v>
      </c>
      <c r="AH26" s="84">
        <f t="shared" si="13"/>
        <v>0.20026048658436971</v>
      </c>
      <c r="AI26" s="85">
        <f t="shared" si="14"/>
        <v>0.21937167029717977</v>
      </c>
      <c r="AK26" s="12"/>
    </row>
    <row r="27" spans="1:37" ht="15" customHeight="1" x14ac:dyDescent="0.2">
      <c r="A27" s="65" t="s">
        <v>27</v>
      </c>
      <c r="B27" s="32">
        <v>496.85599999999999</v>
      </c>
      <c r="C27" s="32">
        <v>489.32400000000013</v>
      </c>
      <c r="D27" s="33">
        <f t="shared" si="0"/>
        <v>-1.5159321815576081E-2</v>
      </c>
      <c r="E27" s="15"/>
      <c r="F27" s="13"/>
      <c r="G27" s="42"/>
      <c r="H27" s="13">
        <v>4.95</v>
      </c>
      <c r="I27" s="13">
        <v>4.8980000000000006</v>
      </c>
      <c r="J27" s="14">
        <f t="shared" si="1"/>
        <v>-1.0505050505050424E-2</v>
      </c>
      <c r="K27" s="16">
        <v>6.47</v>
      </c>
      <c r="L27" s="13">
        <v>6.32</v>
      </c>
      <c r="M27" s="45">
        <f t="shared" si="2"/>
        <v>-2.3183925811437321E-2</v>
      </c>
      <c r="N27" s="13">
        <v>6.41</v>
      </c>
      <c r="O27" s="13">
        <v>6.29</v>
      </c>
      <c r="P27" s="14">
        <f t="shared" si="3"/>
        <v>-1.8720748829953213E-2</v>
      </c>
      <c r="Q27" s="17"/>
      <c r="R27" s="13"/>
      <c r="S27" s="48"/>
      <c r="T27" s="13"/>
      <c r="U27" s="13">
        <v>12.812000000000001</v>
      </c>
      <c r="V27" s="14"/>
      <c r="W27" s="18"/>
      <c r="X27" s="13"/>
      <c r="Y27" s="51"/>
      <c r="Z27" s="13">
        <v>1.5019999999999998</v>
      </c>
      <c r="AA27" s="13">
        <v>1.3320000000000001</v>
      </c>
      <c r="AB27" s="14">
        <f t="shared" si="7"/>
        <v>-0.11318242343541926</v>
      </c>
      <c r="AC27" s="38">
        <f t="shared" si="8"/>
        <v>19.331999999999994</v>
      </c>
      <c r="AD27" s="37">
        <f t="shared" si="9"/>
        <v>31.651999999999987</v>
      </c>
      <c r="AE27" s="19">
        <f t="shared" si="10"/>
        <v>516.18799999999999</v>
      </c>
      <c r="AF27" s="20">
        <f t="shared" si="11"/>
        <v>520.97600000000011</v>
      </c>
      <c r="AG27" s="80">
        <f t="shared" si="12"/>
        <v>9.2756902523889063E-3</v>
      </c>
      <c r="AH27" s="84">
        <f t="shared" si="13"/>
        <v>3.7451471169418882E-2</v>
      </c>
      <c r="AI27" s="85">
        <f t="shared" si="14"/>
        <v>6.0755197936181282E-2</v>
      </c>
      <c r="AK27" s="12"/>
    </row>
    <row r="28" spans="1:37" ht="15" customHeight="1" x14ac:dyDescent="0.2">
      <c r="A28" s="65" t="s">
        <v>28</v>
      </c>
      <c r="B28" s="32">
        <v>1579.7406000000005</v>
      </c>
      <c r="C28" s="32">
        <v>1494.3197999999984</v>
      </c>
      <c r="D28" s="33">
        <f t="shared" si="0"/>
        <v>-5.4072674969550136E-2</v>
      </c>
      <c r="E28" s="15"/>
      <c r="F28" s="13"/>
      <c r="G28" s="42"/>
      <c r="H28" s="13">
        <v>35.409999999999997</v>
      </c>
      <c r="I28" s="13">
        <v>34.705999999999996</v>
      </c>
      <c r="J28" s="14">
        <f t="shared" si="1"/>
        <v>-1.988138943801188E-2</v>
      </c>
      <c r="K28" s="16">
        <v>60.71</v>
      </c>
      <c r="L28" s="13">
        <v>56.619</v>
      </c>
      <c r="M28" s="45">
        <f t="shared" si="2"/>
        <v>-6.7385933124691169E-2</v>
      </c>
      <c r="N28" s="13">
        <v>51.94</v>
      </c>
      <c r="O28" s="13">
        <v>56.110000000000007</v>
      </c>
      <c r="P28" s="14">
        <f t="shared" si="3"/>
        <v>8.0284944166345962E-2</v>
      </c>
      <c r="Q28" s="17">
        <v>19.481999999999999</v>
      </c>
      <c r="R28" s="13">
        <v>21.721</v>
      </c>
      <c r="S28" s="48">
        <f t="shared" si="4"/>
        <v>0.11492659891181607</v>
      </c>
      <c r="T28" s="13">
        <v>198.47200000000001</v>
      </c>
      <c r="U28" s="13">
        <v>197.68400000000014</v>
      </c>
      <c r="V28" s="14">
        <f t="shared" si="5"/>
        <v>-3.9703333467686567E-3</v>
      </c>
      <c r="W28" s="18">
        <v>39.652999999999999</v>
      </c>
      <c r="X28" s="13">
        <v>43.100000000000009</v>
      </c>
      <c r="Y28" s="51">
        <f t="shared" si="6"/>
        <v>8.6929110029506221E-2</v>
      </c>
      <c r="Z28" s="13">
        <v>136.30499999999998</v>
      </c>
      <c r="AA28" s="13">
        <v>87.875</v>
      </c>
      <c r="AB28" s="14">
        <f t="shared" si="7"/>
        <v>-0.35530611496276721</v>
      </c>
      <c r="AC28" s="38">
        <f t="shared" si="8"/>
        <v>541.97200000000021</v>
      </c>
      <c r="AD28" s="37">
        <f t="shared" si="9"/>
        <v>497.81499999999983</v>
      </c>
      <c r="AE28" s="19">
        <f t="shared" si="10"/>
        <v>2121.7126000000007</v>
      </c>
      <c r="AF28" s="20">
        <f t="shared" si="11"/>
        <v>1992.1347999999982</v>
      </c>
      <c r="AG28" s="80">
        <f t="shared" si="12"/>
        <v>-6.1072267752004902E-2</v>
      </c>
      <c r="AH28" s="84">
        <f t="shared" si="13"/>
        <v>0.25544081700792087</v>
      </c>
      <c r="AI28" s="85">
        <f t="shared" si="14"/>
        <v>0.24989021827237809</v>
      </c>
      <c r="AK28" s="12"/>
    </row>
    <row r="29" spans="1:37" ht="15" customHeight="1" x14ac:dyDescent="0.2">
      <c r="A29" s="65" t="s">
        <v>29</v>
      </c>
      <c r="B29" s="32">
        <v>81432.25</v>
      </c>
      <c r="C29" s="32">
        <v>80533.620000000505</v>
      </c>
      <c r="D29" s="33">
        <f t="shared" si="0"/>
        <v>-1.103530849263646E-2</v>
      </c>
      <c r="E29" s="15">
        <v>3453.38</v>
      </c>
      <c r="F29" s="13">
        <v>4206.7399999999943</v>
      </c>
      <c r="G29" s="42">
        <f t="shared" si="15"/>
        <v>0.21815149216130117</v>
      </c>
      <c r="H29" s="13">
        <v>5500.21</v>
      </c>
      <c r="I29" s="13">
        <v>5814.7789999999995</v>
      </c>
      <c r="J29" s="14">
        <f t="shared" si="1"/>
        <v>5.7192179934947851E-2</v>
      </c>
      <c r="K29" s="16">
        <v>8542.76</v>
      </c>
      <c r="L29" s="13">
        <v>9098.0120000000024</v>
      </c>
      <c r="M29" s="45">
        <f t="shared" si="2"/>
        <v>6.499679260566868E-2</v>
      </c>
      <c r="N29" s="13">
        <v>5551.3</v>
      </c>
      <c r="O29" s="13">
        <v>5623.2199999999993</v>
      </c>
      <c r="P29" s="14">
        <f t="shared" si="3"/>
        <v>1.2955523931331248E-2</v>
      </c>
      <c r="Q29" s="17">
        <v>2178.6799999999998</v>
      </c>
      <c r="R29" s="13">
        <v>2799.7280000000019</v>
      </c>
      <c r="S29" s="48">
        <f t="shared" si="4"/>
        <v>0.2850570069950622</v>
      </c>
      <c r="T29" s="13">
        <v>3632.81</v>
      </c>
      <c r="U29" s="13">
        <v>4259.2720000000045</v>
      </c>
      <c r="V29" s="14">
        <f t="shared" si="5"/>
        <v>0.172445572435664</v>
      </c>
      <c r="W29" s="18">
        <v>7054.24</v>
      </c>
      <c r="X29" s="13">
        <v>9471.0799999999963</v>
      </c>
      <c r="Y29" s="51">
        <f t="shared" si="6"/>
        <v>0.34260813354805003</v>
      </c>
      <c r="Z29" s="13">
        <v>4228.1090000000004</v>
      </c>
      <c r="AA29" s="13">
        <v>4689.0439999999999</v>
      </c>
      <c r="AB29" s="14">
        <f t="shared" si="7"/>
        <v>0.10901682052189275</v>
      </c>
      <c r="AC29" s="38">
        <f t="shared" si="8"/>
        <v>40141.489000000001</v>
      </c>
      <c r="AD29" s="37">
        <f t="shared" si="9"/>
        <v>45961.875</v>
      </c>
      <c r="AE29" s="19">
        <f t="shared" si="10"/>
        <v>121573.739</v>
      </c>
      <c r="AF29" s="20">
        <f t="shared" si="11"/>
        <v>126495.4950000005</v>
      </c>
      <c r="AG29" s="80">
        <f t="shared" si="12"/>
        <v>4.0483710055183079E-2</v>
      </c>
      <c r="AH29" s="84">
        <f t="shared" si="13"/>
        <v>0.33018223614887754</v>
      </c>
      <c r="AI29" s="85">
        <f t="shared" si="14"/>
        <v>0.36334792001881028</v>
      </c>
      <c r="AK29" s="12"/>
    </row>
    <row r="30" spans="1:37" ht="15" customHeight="1" x14ac:dyDescent="0.2">
      <c r="A30" s="65" t="s">
        <v>30</v>
      </c>
      <c r="B30" s="32">
        <v>5865.28</v>
      </c>
      <c r="C30" s="32">
        <v>5872.7199999999875</v>
      </c>
      <c r="D30" s="33">
        <f t="shared" si="0"/>
        <v>1.2684816411130887E-3</v>
      </c>
      <c r="E30" s="15"/>
      <c r="F30" s="13"/>
      <c r="G30" s="42"/>
      <c r="H30" s="13">
        <v>138.22999999999999</v>
      </c>
      <c r="I30" s="13">
        <v>142.84299999999996</v>
      </c>
      <c r="J30" s="14">
        <f t="shared" si="1"/>
        <v>3.3371916371265076E-2</v>
      </c>
      <c r="K30" s="16">
        <v>187.92</v>
      </c>
      <c r="L30" s="13">
        <v>214.399</v>
      </c>
      <c r="M30" s="45">
        <f t="shared" si="2"/>
        <v>0.14090570455512993</v>
      </c>
      <c r="N30" s="13">
        <v>228.4</v>
      </c>
      <c r="O30" s="13">
        <v>220.42</v>
      </c>
      <c r="P30" s="14">
        <f t="shared" si="3"/>
        <v>-3.4938704028021093E-2</v>
      </c>
      <c r="Q30" s="17"/>
      <c r="R30" s="13">
        <v>47.620000000000005</v>
      </c>
      <c r="S30" s="48"/>
      <c r="T30" s="13">
        <v>121.9</v>
      </c>
      <c r="U30" s="13">
        <v>130.6</v>
      </c>
      <c r="V30" s="14">
        <f t="shared" si="5"/>
        <v>7.1369975389663567E-2</v>
      </c>
      <c r="W30" s="18"/>
      <c r="X30" s="13">
        <v>221.08000000000004</v>
      </c>
      <c r="Y30" s="51"/>
      <c r="Z30" s="13">
        <v>147.76</v>
      </c>
      <c r="AA30" s="13">
        <v>199.9</v>
      </c>
      <c r="AB30" s="14">
        <f t="shared" si="7"/>
        <v>0.35286951813752043</v>
      </c>
      <c r="AC30" s="38">
        <f t="shared" si="8"/>
        <v>824.20999999999913</v>
      </c>
      <c r="AD30" s="37">
        <f t="shared" si="9"/>
        <v>1176.8620000000001</v>
      </c>
      <c r="AE30" s="19">
        <f t="shared" si="10"/>
        <v>6689.4899999999989</v>
      </c>
      <c r="AF30" s="20">
        <f t="shared" si="11"/>
        <v>7049.5819999999876</v>
      </c>
      <c r="AG30" s="80">
        <f t="shared" si="12"/>
        <v>5.3829514656571549E-2</v>
      </c>
      <c r="AH30" s="84">
        <f t="shared" si="13"/>
        <v>0.12320969162073631</v>
      </c>
      <c r="AI30" s="85">
        <f t="shared" si="14"/>
        <v>0.16694067818489128</v>
      </c>
      <c r="AK30" s="12"/>
    </row>
    <row r="31" spans="1:37" ht="15" customHeight="1" x14ac:dyDescent="0.2">
      <c r="A31" s="65" t="s">
        <v>31</v>
      </c>
      <c r="B31" s="32">
        <v>3657.578</v>
      </c>
      <c r="C31" s="32">
        <v>3740.1860000000006</v>
      </c>
      <c r="D31" s="33">
        <f t="shared" si="0"/>
        <v>2.2585437685813024E-2</v>
      </c>
      <c r="E31" s="15">
        <v>254.96799999999999</v>
      </c>
      <c r="F31" s="13">
        <v>214.78000000000009</v>
      </c>
      <c r="G31" s="42">
        <f t="shared" si="15"/>
        <v>-0.15761977973706467</v>
      </c>
      <c r="H31" s="13">
        <v>79.73</v>
      </c>
      <c r="I31" s="13">
        <v>78.043000000000006</v>
      </c>
      <c r="J31" s="14">
        <f t="shared" si="1"/>
        <v>-2.115891132572429E-2</v>
      </c>
      <c r="K31" s="16">
        <v>127.42</v>
      </c>
      <c r="L31" s="13">
        <v>124.738</v>
      </c>
      <c r="M31" s="45">
        <f t="shared" si="2"/>
        <v>-2.1048501020248016E-2</v>
      </c>
      <c r="N31" s="13">
        <v>102.51</v>
      </c>
      <c r="O31" s="13">
        <v>101.60000000000001</v>
      </c>
      <c r="P31" s="14">
        <f t="shared" si="3"/>
        <v>-8.877182713881538E-3</v>
      </c>
      <c r="Q31" s="17">
        <v>30.742000000000001</v>
      </c>
      <c r="R31" s="13">
        <v>29.476000000000006</v>
      </c>
      <c r="S31" s="48">
        <f t="shared" si="4"/>
        <v>-4.118144557933754E-2</v>
      </c>
      <c r="T31" s="13">
        <v>283.04399999999998</v>
      </c>
      <c r="U31" s="13">
        <v>295.10900000000004</v>
      </c>
      <c r="V31" s="14">
        <f t="shared" si="5"/>
        <v>4.2625881488390693E-2</v>
      </c>
      <c r="W31" s="18">
        <v>140.34899999999999</v>
      </c>
      <c r="X31" s="13">
        <v>154.96</v>
      </c>
      <c r="Y31" s="51">
        <f t="shared" si="6"/>
        <v>0.10410476740126413</v>
      </c>
      <c r="Z31" s="13">
        <v>91.910499999999999</v>
      </c>
      <c r="AA31" s="13">
        <v>80.524000000000001</v>
      </c>
      <c r="AB31" s="14">
        <f t="shared" si="7"/>
        <v>-0.12388682468270762</v>
      </c>
      <c r="AC31" s="38">
        <f t="shared" si="8"/>
        <v>1110.6735000000003</v>
      </c>
      <c r="AD31" s="37">
        <f t="shared" si="9"/>
        <v>1079.2300000000014</v>
      </c>
      <c r="AE31" s="19">
        <f t="shared" si="10"/>
        <v>4768.2515000000003</v>
      </c>
      <c r="AF31" s="20">
        <f t="shared" si="11"/>
        <v>4819.416000000002</v>
      </c>
      <c r="AG31" s="80">
        <f t="shared" si="12"/>
        <v>1.0730243570416048E-2</v>
      </c>
      <c r="AH31" s="84">
        <f t="shared" si="13"/>
        <v>0.23293098109443267</v>
      </c>
      <c r="AI31" s="85">
        <f t="shared" si="14"/>
        <v>0.22393377122871339</v>
      </c>
      <c r="AK31" s="12"/>
    </row>
    <row r="32" spans="1:37" ht="15" customHeight="1" x14ac:dyDescent="0.2">
      <c r="A32" s="65" t="s">
        <v>32</v>
      </c>
      <c r="B32" s="32">
        <v>311.58059999999995</v>
      </c>
      <c r="C32" s="32">
        <v>317.21849999999984</v>
      </c>
      <c r="D32" s="33">
        <f t="shared" si="0"/>
        <v>1.8094515512197772E-2</v>
      </c>
      <c r="E32" s="15"/>
      <c r="F32" s="13"/>
      <c r="G32" s="42"/>
      <c r="H32" s="13">
        <v>5.7649999999999997</v>
      </c>
      <c r="I32" s="13">
        <v>4.7249999999999996</v>
      </c>
      <c r="J32" s="14">
        <f t="shared" si="1"/>
        <v>-0.18039895923677365</v>
      </c>
      <c r="K32" s="16">
        <v>11.77</v>
      </c>
      <c r="L32" s="13">
        <v>10.139999999999999</v>
      </c>
      <c r="M32" s="45">
        <f t="shared" si="2"/>
        <v>-0.13848768054375538</v>
      </c>
      <c r="N32" s="13">
        <v>7.25</v>
      </c>
      <c r="O32" s="13">
        <v>11.99</v>
      </c>
      <c r="P32" s="14">
        <f t="shared" si="3"/>
        <v>0.6537931034482759</v>
      </c>
      <c r="Q32" s="17"/>
      <c r="R32" s="13"/>
      <c r="S32" s="48"/>
      <c r="T32" s="13">
        <v>11.791</v>
      </c>
      <c r="U32" s="13"/>
      <c r="V32" s="14">
        <f t="shared" si="5"/>
        <v>-1</v>
      </c>
      <c r="W32" s="18"/>
      <c r="X32" s="13"/>
      <c r="Y32" s="51"/>
      <c r="Z32" s="13">
        <v>1.337</v>
      </c>
      <c r="AA32" s="13">
        <v>1.0349999999999999</v>
      </c>
      <c r="AB32" s="14">
        <f t="shared" si="7"/>
        <v>-0.22587883320867619</v>
      </c>
      <c r="AC32" s="38">
        <f t="shared" si="8"/>
        <v>37.912999999999954</v>
      </c>
      <c r="AD32" s="37">
        <f t="shared" si="9"/>
        <v>27.890000000000043</v>
      </c>
      <c r="AE32" s="19">
        <f t="shared" si="10"/>
        <v>349.4935999999999</v>
      </c>
      <c r="AF32" s="20">
        <f t="shared" si="11"/>
        <v>345.10849999999988</v>
      </c>
      <c r="AG32" s="80">
        <f t="shared" si="12"/>
        <v>-1.2547010875163448E-2</v>
      </c>
      <c r="AH32" s="84">
        <f t="shared" si="13"/>
        <v>0.10847981193360898</v>
      </c>
      <c r="AI32" s="85">
        <f t="shared" si="14"/>
        <v>8.0815163926707262E-2</v>
      </c>
      <c r="AK32" s="12"/>
    </row>
    <row r="33" spans="1:37" ht="15" customHeight="1" x14ac:dyDescent="0.2">
      <c r="A33" s="65" t="s">
        <v>33</v>
      </c>
      <c r="B33" s="32">
        <v>489.91200000000003</v>
      </c>
      <c r="C33" s="32">
        <v>485.44599999999986</v>
      </c>
      <c r="D33" s="33">
        <f t="shared" si="0"/>
        <v>-9.1159228596159689E-3</v>
      </c>
      <c r="E33" s="15"/>
      <c r="F33" s="13"/>
      <c r="G33" s="42"/>
      <c r="H33" s="13">
        <v>2.82</v>
      </c>
      <c r="I33" s="13">
        <v>2.9489999999999998</v>
      </c>
      <c r="J33" s="14">
        <f t="shared" si="1"/>
        <v>4.5744680851063833E-2</v>
      </c>
      <c r="K33" s="16">
        <v>4.1399999999999997</v>
      </c>
      <c r="L33" s="13">
        <v>3.9899999999999998</v>
      </c>
      <c r="M33" s="45">
        <f t="shared" si="2"/>
        <v>-3.6231884057970995E-2</v>
      </c>
      <c r="N33" s="13">
        <v>7.74</v>
      </c>
      <c r="O33" s="13">
        <v>7.16</v>
      </c>
      <c r="P33" s="14">
        <f t="shared" si="3"/>
        <v>-7.4935400516795869E-2</v>
      </c>
      <c r="Q33" s="17"/>
      <c r="R33" s="13"/>
      <c r="S33" s="48"/>
      <c r="T33" s="13">
        <v>18.794</v>
      </c>
      <c r="U33" s="13">
        <v>8.8160000000000007</v>
      </c>
      <c r="V33" s="14">
        <f t="shared" si="5"/>
        <v>-0.53091412152814721</v>
      </c>
      <c r="W33" s="18"/>
      <c r="X33" s="13">
        <v>10.128</v>
      </c>
      <c r="Y33" s="51"/>
      <c r="Z33" s="13">
        <v>1.5670000000000002</v>
      </c>
      <c r="AA33" s="13">
        <v>1.048</v>
      </c>
      <c r="AB33" s="14">
        <f t="shared" si="7"/>
        <v>-0.33120612635609448</v>
      </c>
      <c r="AC33" s="38">
        <f t="shared" si="8"/>
        <v>35.061000000000035</v>
      </c>
      <c r="AD33" s="37">
        <f t="shared" si="9"/>
        <v>34.091000000000065</v>
      </c>
      <c r="AE33" s="19">
        <f t="shared" si="10"/>
        <v>524.97300000000007</v>
      </c>
      <c r="AF33" s="20">
        <f t="shared" si="11"/>
        <v>519.53699999999992</v>
      </c>
      <c r="AG33" s="80">
        <f t="shared" si="12"/>
        <v>-1.0354818247795885E-2</v>
      </c>
      <c r="AH33" s="84">
        <f t="shared" si="13"/>
        <v>6.6786291866438904E-2</v>
      </c>
      <c r="AI33" s="85">
        <f t="shared" si="14"/>
        <v>6.5618040678527362E-2</v>
      </c>
      <c r="AK33" s="12"/>
    </row>
    <row r="34" spans="1:37" ht="15" customHeight="1" x14ac:dyDescent="0.2">
      <c r="A34" s="65" t="s">
        <v>34</v>
      </c>
      <c r="B34" s="32">
        <v>160.77799999999999</v>
      </c>
      <c r="C34" s="32">
        <v>158.28670000000005</v>
      </c>
      <c r="D34" s="33">
        <f t="shared" si="0"/>
        <v>-1.5495279204865956E-2</v>
      </c>
      <c r="E34" s="15"/>
      <c r="F34" s="13"/>
      <c r="G34" s="42"/>
      <c r="H34" s="13">
        <v>0.73</v>
      </c>
      <c r="I34" s="13">
        <v>0.74499999999999988</v>
      </c>
      <c r="J34" s="14">
        <f t="shared" si="1"/>
        <v>2.0547945205479319E-2</v>
      </c>
      <c r="K34" s="16">
        <v>1.2749999999999999</v>
      </c>
      <c r="L34" s="13">
        <v>1.5400000000000003</v>
      </c>
      <c r="M34" s="45">
        <f t="shared" si="2"/>
        <v>0.20784313725490225</v>
      </c>
      <c r="N34" s="13">
        <v>2.14</v>
      </c>
      <c r="O34" s="13">
        <v>4.1099999999999994</v>
      </c>
      <c r="P34" s="14">
        <f t="shared" si="3"/>
        <v>0.920560747663551</v>
      </c>
      <c r="Q34" s="17"/>
      <c r="R34" s="13"/>
      <c r="S34" s="48"/>
      <c r="T34" s="13"/>
      <c r="U34" s="13"/>
      <c r="V34" s="14"/>
      <c r="W34" s="18"/>
      <c r="X34" s="13"/>
      <c r="Y34" s="51"/>
      <c r="Z34" s="13">
        <v>1.0860000000000001</v>
      </c>
      <c r="AA34" s="13">
        <v>0.48399999999999999</v>
      </c>
      <c r="AB34" s="14">
        <f t="shared" si="7"/>
        <v>-0.55432780847145491</v>
      </c>
      <c r="AC34" s="38">
        <f t="shared" si="8"/>
        <v>5.2309999999999945</v>
      </c>
      <c r="AD34" s="37">
        <f t="shared" si="9"/>
        <v>6.8789999999999907</v>
      </c>
      <c r="AE34" s="19">
        <f t="shared" si="10"/>
        <v>166.00899999999999</v>
      </c>
      <c r="AF34" s="20">
        <f t="shared" si="11"/>
        <v>165.16570000000004</v>
      </c>
      <c r="AG34" s="80">
        <f t="shared" si="12"/>
        <v>-5.0798450686405103E-3</v>
      </c>
      <c r="AH34" s="84">
        <f t="shared" si="13"/>
        <v>3.1510339800854138E-2</v>
      </c>
      <c r="AI34" s="85">
        <f t="shared" si="14"/>
        <v>4.164908331451378E-2</v>
      </c>
      <c r="AK34" s="12"/>
    </row>
    <row r="35" spans="1:37" ht="15" customHeight="1" x14ac:dyDescent="0.2">
      <c r="A35" s="65" t="s">
        <v>35</v>
      </c>
      <c r="B35" s="32">
        <v>411.88299999999998</v>
      </c>
      <c r="C35" s="32">
        <v>428.18799999999999</v>
      </c>
      <c r="D35" s="33">
        <f t="shared" si="0"/>
        <v>3.958648451137825E-2</v>
      </c>
      <c r="E35" s="15"/>
      <c r="F35" s="13"/>
      <c r="G35" s="42"/>
      <c r="H35" s="13">
        <v>12.355</v>
      </c>
      <c r="I35" s="13">
        <v>10.208</v>
      </c>
      <c r="J35" s="14">
        <f t="shared" si="1"/>
        <v>-0.17377579927154999</v>
      </c>
      <c r="K35" s="16">
        <v>9</v>
      </c>
      <c r="L35" s="13">
        <v>11.611999999999998</v>
      </c>
      <c r="M35" s="45">
        <f t="shared" si="2"/>
        <v>0.29022222222222205</v>
      </c>
      <c r="N35" s="13">
        <v>14.95</v>
      </c>
      <c r="O35" s="13">
        <v>18.344999999999999</v>
      </c>
      <c r="P35" s="14">
        <f t="shared" si="3"/>
        <v>0.22709030100334446</v>
      </c>
      <c r="Q35" s="17"/>
      <c r="R35" s="13"/>
      <c r="S35" s="48"/>
      <c r="T35" s="13"/>
      <c r="U35" s="13"/>
      <c r="V35" s="14"/>
      <c r="W35" s="18"/>
      <c r="X35" s="13"/>
      <c r="Y35" s="51"/>
      <c r="Z35" s="13">
        <v>1.5</v>
      </c>
      <c r="AA35" s="13">
        <v>1.494</v>
      </c>
      <c r="AB35" s="14">
        <f t="shared" si="7"/>
        <v>-4.0000000000000036E-3</v>
      </c>
      <c r="AC35" s="38">
        <f t="shared" si="8"/>
        <v>37.805000000000007</v>
      </c>
      <c r="AD35" s="37">
        <f t="shared" si="9"/>
        <v>41.659000000000106</v>
      </c>
      <c r="AE35" s="19">
        <f t="shared" si="10"/>
        <v>449.68799999999999</v>
      </c>
      <c r="AF35" s="20">
        <f t="shared" si="11"/>
        <v>469.84700000000009</v>
      </c>
      <c r="AG35" s="80">
        <f t="shared" si="12"/>
        <v>4.4828859120101282E-2</v>
      </c>
      <c r="AH35" s="84">
        <f t="shared" si="13"/>
        <v>8.4069399227909139E-2</v>
      </c>
      <c r="AI35" s="85">
        <f t="shared" si="14"/>
        <v>8.8665033510909083E-2</v>
      </c>
      <c r="AK35" s="12"/>
    </row>
    <row r="36" spans="1:37" ht="15" customHeight="1" x14ac:dyDescent="0.2">
      <c r="A36" s="65" t="s">
        <v>36</v>
      </c>
      <c r="B36" s="32">
        <v>12896.365</v>
      </c>
      <c r="C36" s="32">
        <v>12704.476000000006</v>
      </c>
      <c r="D36" s="33">
        <f t="shared" si="0"/>
        <v>-1.4879309014593939E-2</v>
      </c>
      <c r="E36" s="15">
        <v>206.32</v>
      </c>
      <c r="F36" s="13">
        <v>263.58000000000015</v>
      </c>
      <c r="G36" s="42">
        <f t="shared" si="15"/>
        <v>0.27753005040713535</v>
      </c>
      <c r="H36" s="13">
        <v>602.33000000000004</v>
      </c>
      <c r="I36" s="13">
        <v>597.91899999999998</v>
      </c>
      <c r="J36" s="14">
        <f t="shared" si="1"/>
        <v>-7.3232281307589828E-3</v>
      </c>
      <c r="K36" s="16">
        <v>896.38</v>
      </c>
      <c r="L36" s="13">
        <v>889.06499999999994</v>
      </c>
      <c r="M36" s="45">
        <f t="shared" si="2"/>
        <v>-8.1606015306009225E-3</v>
      </c>
      <c r="N36" s="13">
        <v>536</v>
      </c>
      <c r="O36" s="13">
        <v>496.06000000000006</v>
      </c>
      <c r="P36" s="14">
        <f t="shared" si="3"/>
        <v>-7.4514925373134214E-2</v>
      </c>
      <c r="Q36" s="17">
        <v>696.92200000000003</v>
      </c>
      <c r="R36" s="13">
        <v>552.17099999999994</v>
      </c>
      <c r="S36" s="48">
        <f t="shared" si="4"/>
        <v>-0.20770043132516994</v>
      </c>
      <c r="T36" s="13">
        <v>811.04</v>
      </c>
      <c r="U36" s="13">
        <v>823.13500000000067</v>
      </c>
      <c r="V36" s="14">
        <f t="shared" si="5"/>
        <v>1.4912951272441199E-2</v>
      </c>
      <c r="W36" s="18">
        <v>1204.5339999999999</v>
      </c>
      <c r="X36" s="13">
        <v>1915.8890000000008</v>
      </c>
      <c r="Y36" s="51">
        <f t="shared" si="6"/>
        <v>0.59056448385848881</v>
      </c>
      <c r="Z36" s="13">
        <v>932.12100000000009</v>
      </c>
      <c r="AA36" s="13">
        <v>672.86400000000003</v>
      </c>
      <c r="AB36" s="14">
        <f t="shared" si="7"/>
        <v>-0.27813663676711503</v>
      </c>
      <c r="AC36" s="38">
        <f t="shared" si="8"/>
        <v>5885.646999999999</v>
      </c>
      <c r="AD36" s="37">
        <f t="shared" si="9"/>
        <v>6210.6830000000009</v>
      </c>
      <c r="AE36" s="19">
        <f t="shared" si="10"/>
        <v>18782.011999999999</v>
      </c>
      <c r="AF36" s="20">
        <f t="shared" si="11"/>
        <v>18915.159000000007</v>
      </c>
      <c r="AG36" s="80">
        <f t="shared" si="12"/>
        <v>7.0890701166631204E-3</v>
      </c>
      <c r="AH36" s="84">
        <f t="shared" si="13"/>
        <v>0.31336616119721356</v>
      </c>
      <c r="AI36" s="85">
        <f t="shared" si="14"/>
        <v>0.32834421323130292</v>
      </c>
      <c r="AK36" s="12"/>
    </row>
    <row r="37" spans="1:37" ht="15" customHeight="1" x14ac:dyDescent="0.2">
      <c r="A37" s="65" t="s">
        <v>37</v>
      </c>
      <c r="B37" s="32">
        <v>847.08399999999995</v>
      </c>
      <c r="C37" s="32">
        <v>940.51400000000012</v>
      </c>
      <c r="D37" s="33">
        <f t="shared" si="0"/>
        <v>0.11029602731252176</v>
      </c>
      <c r="E37" s="15"/>
      <c r="F37" s="13"/>
      <c r="G37" s="42"/>
      <c r="H37" s="13">
        <v>17.29</v>
      </c>
      <c r="I37" s="13">
        <v>19.070999999999998</v>
      </c>
      <c r="J37" s="14">
        <f t="shared" si="1"/>
        <v>0.10300751879699242</v>
      </c>
      <c r="K37" s="16">
        <v>19.739999999999998</v>
      </c>
      <c r="L37" s="13">
        <v>21.545000000000002</v>
      </c>
      <c r="M37" s="45">
        <f t="shared" si="2"/>
        <v>9.1438703140830968E-2</v>
      </c>
      <c r="N37" s="13">
        <v>34.83</v>
      </c>
      <c r="O37" s="13">
        <v>31.799999999999997</v>
      </c>
      <c r="P37" s="14">
        <f t="shared" si="3"/>
        <v>-8.6993970714900989E-2</v>
      </c>
      <c r="Q37" s="17">
        <v>2.72</v>
      </c>
      <c r="R37" s="13">
        <v>0.88</v>
      </c>
      <c r="S37" s="48">
        <f t="shared" si="4"/>
        <v>-0.67647058823529416</v>
      </c>
      <c r="T37" s="13">
        <v>9.33</v>
      </c>
      <c r="U37" s="13">
        <v>4.7</v>
      </c>
      <c r="V37" s="14">
        <f t="shared" si="5"/>
        <v>-0.4962486602357985</v>
      </c>
      <c r="W37" s="18">
        <v>93.259999999999991</v>
      </c>
      <c r="X37" s="13">
        <v>23.639999999999997</v>
      </c>
      <c r="Y37" s="51">
        <f t="shared" si="6"/>
        <v>-0.74651511902208878</v>
      </c>
      <c r="Z37" s="13">
        <v>30.862999999999996</v>
      </c>
      <c r="AA37" s="13">
        <v>20.292999999999999</v>
      </c>
      <c r="AB37" s="14">
        <f t="shared" si="7"/>
        <v>-0.342481288273985</v>
      </c>
      <c r="AC37" s="38">
        <f t="shared" si="8"/>
        <v>208.03300000000002</v>
      </c>
      <c r="AD37" s="37">
        <f t="shared" si="9"/>
        <v>121.92899999999986</v>
      </c>
      <c r="AE37" s="19">
        <f t="shared" si="10"/>
        <v>1055.117</v>
      </c>
      <c r="AF37" s="20">
        <f t="shared" si="11"/>
        <v>1062.443</v>
      </c>
      <c r="AG37" s="80">
        <f t="shared" si="12"/>
        <v>6.9433058134785262E-3</v>
      </c>
      <c r="AH37" s="84">
        <f t="shared" si="13"/>
        <v>0.19716581194313049</v>
      </c>
      <c r="AI37" s="85">
        <f t="shared" si="14"/>
        <v>0.11476286257239199</v>
      </c>
      <c r="AK37" s="12"/>
    </row>
    <row r="38" spans="1:37" ht="15" customHeight="1" x14ac:dyDescent="0.2">
      <c r="A38" s="65" t="s">
        <v>38</v>
      </c>
      <c r="B38" s="32">
        <v>3738.3199999999997</v>
      </c>
      <c r="C38" s="32">
        <v>3695.1610000000028</v>
      </c>
      <c r="D38" s="33">
        <f t="shared" si="0"/>
        <v>-1.1545025572983834E-2</v>
      </c>
      <c r="E38" s="15"/>
      <c r="F38" s="13"/>
      <c r="G38" s="42"/>
      <c r="H38" s="13">
        <v>143.05500000000001</v>
      </c>
      <c r="I38" s="13">
        <v>161.053</v>
      </c>
      <c r="J38" s="14">
        <f t="shared" si="1"/>
        <v>0.12581175072524547</v>
      </c>
      <c r="K38" s="16">
        <v>160.61500000000001</v>
      </c>
      <c r="L38" s="13">
        <v>151.14700000000002</v>
      </c>
      <c r="M38" s="45">
        <f t="shared" si="2"/>
        <v>-5.8948417022071341E-2</v>
      </c>
      <c r="N38" s="13">
        <v>163.38999999999999</v>
      </c>
      <c r="O38" s="13">
        <v>161.53</v>
      </c>
      <c r="P38" s="14">
        <f t="shared" si="3"/>
        <v>-1.1383805618458812E-2</v>
      </c>
      <c r="Q38" s="17"/>
      <c r="R38" s="13"/>
      <c r="S38" s="48"/>
      <c r="T38" s="13">
        <v>313.38</v>
      </c>
      <c r="U38" s="13">
        <v>303.2799999999998</v>
      </c>
      <c r="V38" s="14">
        <f t="shared" si="5"/>
        <v>-3.222924245325226E-2</v>
      </c>
      <c r="W38" s="18">
        <v>169.08</v>
      </c>
      <c r="X38" s="13">
        <v>2.3800000000000003</v>
      </c>
      <c r="Y38" s="51">
        <f t="shared" si="6"/>
        <v>-0.98592382304234683</v>
      </c>
      <c r="Z38" s="13">
        <v>2.7800000000000002</v>
      </c>
      <c r="AA38" s="13">
        <v>0.14000000000000001</v>
      </c>
      <c r="AB38" s="14">
        <f t="shared" si="7"/>
        <v>-0.94964028776978415</v>
      </c>
      <c r="AC38" s="38">
        <f t="shared" si="8"/>
        <v>952.30000000000018</v>
      </c>
      <c r="AD38" s="37">
        <f t="shared" si="9"/>
        <v>779.52999999999975</v>
      </c>
      <c r="AE38" s="19">
        <f t="shared" si="10"/>
        <v>4690.62</v>
      </c>
      <c r="AF38" s="20">
        <f t="shared" si="11"/>
        <v>4474.6910000000025</v>
      </c>
      <c r="AG38" s="80">
        <f t="shared" si="12"/>
        <v>-4.6034212961185803E-2</v>
      </c>
      <c r="AH38" s="84">
        <f t="shared" si="13"/>
        <v>0.20302220175584468</v>
      </c>
      <c r="AI38" s="85">
        <f t="shared" si="14"/>
        <v>0.17420867720251507</v>
      </c>
      <c r="AK38" s="12"/>
    </row>
    <row r="39" spans="1:37" ht="15" customHeight="1" x14ac:dyDescent="0.2">
      <c r="A39" s="65" t="s">
        <v>39</v>
      </c>
      <c r="B39" s="32">
        <v>3836.414000000002</v>
      </c>
      <c r="C39" s="32">
        <v>3886.1303999999991</v>
      </c>
      <c r="D39" s="33">
        <f t="shared" si="0"/>
        <v>1.2959081058508555E-2</v>
      </c>
      <c r="E39" s="15"/>
      <c r="F39" s="13"/>
      <c r="G39" s="42"/>
      <c r="H39" s="13">
        <v>83.564999999999998</v>
      </c>
      <c r="I39" s="13">
        <v>88.847000000000008</v>
      </c>
      <c r="J39" s="14">
        <f t="shared" si="1"/>
        <v>6.3208280978878845E-2</v>
      </c>
      <c r="K39" s="16">
        <v>128.41999999999999</v>
      </c>
      <c r="L39" s="13">
        <v>124.89399999999998</v>
      </c>
      <c r="M39" s="45">
        <f t="shared" si="2"/>
        <v>-2.7456782432642976E-2</v>
      </c>
      <c r="N39" s="13">
        <v>104.06</v>
      </c>
      <c r="O39" s="13">
        <v>132.10000000000002</v>
      </c>
      <c r="P39" s="14">
        <f t="shared" si="3"/>
        <v>0.26945992696521259</v>
      </c>
      <c r="Q39" s="17">
        <v>0.14000000000000001</v>
      </c>
      <c r="R39" s="13">
        <v>0.58000000000000007</v>
      </c>
      <c r="S39" s="48">
        <f t="shared" si="4"/>
        <v>3.1428571428571428</v>
      </c>
      <c r="T39" s="13">
        <v>135.06799999999998</v>
      </c>
      <c r="U39" s="13">
        <v>124.19999999999996</v>
      </c>
      <c r="V39" s="14">
        <f t="shared" si="5"/>
        <v>-8.0463174104895493E-2</v>
      </c>
      <c r="W39" s="18">
        <v>732.83999999999992</v>
      </c>
      <c r="X39" s="13">
        <v>184.27999999999997</v>
      </c>
      <c r="Y39" s="51">
        <f t="shared" si="6"/>
        <v>-0.74853992685988757</v>
      </c>
      <c r="Z39" s="13">
        <v>23.200000000000003</v>
      </c>
      <c r="AA39" s="13">
        <v>3.62</v>
      </c>
      <c r="AB39" s="14">
        <f t="shared" si="7"/>
        <v>-0.84396551724137925</v>
      </c>
      <c r="AC39" s="38">
        <f t="shared" si="8"/>
        <v>1207.293000000001</v>
      </c>
      <c r="AD39" s="37">
        <f t="shared" si="9"/>
        <v>658.52099999999973</v>
      </c>
      <c r="AE39" s="19">
        <f t="shared" si="10"/>
        <v>5043.7070000000031</v>
      </c>
      <c r="AF39" s="20">
        <f t="shared" si="11"/>
        <v>4544.6513999999988</v>
      </c>
      <c r="AG39" s="80">
        <f t="shared" si="12"/>
        <v>-9.8946191759355553E-2</v>
      </c>
      <c r="AH39" s="84">
        <f t="shared" si="13"/>
        <v>0.23936620426206365</v>
      </c>
      <c r="AI39" s="85">
        <f t="shared" si="14"/>
        <v>0.14490022271015107</v>
      </c>
      <c r="AK39" s="12"/>
    </row>
    <row r="40" spans="1:37" ht="15" customHeight="1" x14ac:dyDescent="0.2">
      <c r="A40" s="65" t="s">
        <v>40</v>
      </c>
      <c r="B40" s="32">
        <v>5513.28</v>
      </c>
      <c r="C40" s="32">
        <v>5334.4000000000033</v>
      </c>
      <c r="D40" s="33">
        <f t="shared" si="0"/>
        <v>-3.2445295722327995E-2</v>
      </c>
      <c r="E40" s="15">
        <v>141.76</v>
      </c>
      <c r="F40" s="13">
        <v>125.90000000000003</v>
      </c>
      <c r="G40" s="42">
        <f t="shared" si="15"/>
        <v>-0.11187923250564304</v>
      </c>
      <c r="H40" s="13">
        <v>228.65</v>
      </c>
      <c r="I40" s="13">
        <v>263.91700000000003</v>
      </c>
      <c r="J40" s="14">
        <f t="shared" si="1"/>
        <v>0.15424010496391877</v>
      </c>
      <c r="K40" s="16">
        <v>373.18299999999999</v>
      </c>
      <c r="L40" s="13">
        <v>401.96299999999997</v>
      </c>
      <c r="M40" s="45">
        <f t="shared" si="2"/>
        <v>7.7120340422795183E-2</v>
      </c>
      <c r="N40" s="13">
        <v>270.38</v>
      </c>
      <c r="O40" s="13">
        <v>272.28999999999996</v>
      </c>
      <c r="P40" s="14">
        <f t="shared" si="3"/>
        <v>7.0641319624231381E-3</v>
      </c>
      <c r="Q40" s="17">
        <v>161.22</v>
      </c>
      <c r="R40" s="13">
        <v>205.76</v>
      </c>
      <c r="S40" s="48">
        <f t="shared" si="4"/>
        <v>0.27626845304552783</v>
      </c>
      <c r="T40" s="13">
        <v>102.86</v>
      </c>
      <c r="U40" s="13">
        <v>89.74</v>
      </c>
      <c r="V40" s="14">
        <f t="shared" si="5"/>
        <v>-0.12755201244409883</v>
      </c>
      <c r="W40" s="18">
        <v>122.6</v>
      </c>
      <c r="X40" s="13"/>
      <c r="Y40" s="51">
        <f t="shared" si="6"/>
        <v>-1</v>
      </c>
      <c r="Z40" s="13">
        <v>27.56</v>
      </c>
      <c r="AA40" s="13">
        <v>48.88</v>
      </c>
      <c r="AB40" s="14">
        <f t="shared" si="7"/>
        <v>0.77358490566037752</v>
      </c>
      <c r="AC40" s="38">
        <f t="shared" si="8"/>
        <v>1428.2130000000006</v>
      </c>
      <c r="AD40" s="37">
        <f t="shared" si="9"/>
        <v>1408.4499999999998</v>
      </c>
      <c r="AE40" s="19">
        <f t="shared" si="10"/>
        <v>6941.4930000000004</v>
      </c>
      <c r="AF40" s="20">
        <f t="shared" si="11"/>
        <v>6742.8500000000031</v>
      </c>
      <c r="AG40" s="80">
        <f t="shared" si="12"/>
        <v>-2.8616754349532196E-2</v>
      </c>
      <c r="AH40" s="84">
        <f t="shared" si="13"/>
        <v>0.20575011744591554</v>
      </c>
      <c r="AI40" s="85">
        <f t="shared" si="14"/>
        <v>0.20888051788190443</v>
      </c>
      <c r="AK40" s="12"/>
    </row>
    <row r="41" spans="1:37" ht="15" customHeight="1" x14ac:dyDescent="0.2">
      <c r="A41" s="65" t="s">
        <v>41</v>
      </c>
      <c r="B41" s="32">
        <v>9234.9940000000006</v>
      </c>
      <c r="C41" s="32">
        <v>9580.5900000000111</v>
      </c>
      <c r="D41" s="33">
        <f t="shared" si="0"/>
        <v>3.7422439040026498E-2</v>
      </c>
      <c r="E41" s="15">
        <v>2.56</v>
      </c>
      <c r="F41" s="13">
        <v>14.259999999999994</v>
      </c>
      <c r="G41" s="42">
        <f t="shared" si="15"/>
        <v>4.5703124999999973</v>
      </c>
      <c r="H41" s="13">
        <v>159.74</v>
      </c>
      <c r="I41" s="13">
        <v>170.27799999999999</v>
      </c>
      <c r="J41" s="14">
        <f t="shared" si="1"/>
        <v>6.5969700763740965E-2</v>
      </c>
      <c r="K41" s="16">
        <v>214.17</v>
      </c>
      <c r="L41" s="13">
        <v>207.49599999999998</v>
      </c>
      <c r="M41" s="45">
        <f t="shared" si="2"/>
        <v>-3.1162160900219484E-2</v>
      </c>
      <c r="N41" s="13">
        <v>229.24</v>
      </c>
      <c r="O41" s="13">
        <v>243.5</v>
      </c>
      <c r="P41" s="14">
        <f t="shared" si="3"/>
        <v>6.220554876984815E-2</v>
      </c>
      <c r="Q41" s="17">
        <v>106.56</v>
      </c>
      <c r="R41" s="13">
        <v>103.384</v>
      </c>
      <c r="S41" s="48">
        <f t="shared" si="4"/>
        <v>-2.9804804804804821E-2</v>
      </c>
      <c r="T41" s="13">
        <v>157.43600000000001</v>
      </c>
      <c r="U41" s="13">
        <v>181.95800000000003</v>
      </c>
      <c r="V41" s="14">
        <f t="shared" si="5"/>
        <v>0.15575853045046889</v>
      </c>
      <c r="W41" s="18">
        <v>204.18200000000002</v>
      </c>
      <c r="X41" s="13">
        <v>296.20099999999996</v>
      </c>
      <c r="Y41" s="51">
        <f t="shared" si="6"/>
        <v>0.45067145977608186</v>
      </c>
      <c r="Z41" s="13">
        <v>288.83099999999996</v>
      </c>
      <c r="AA41" s="13">
        <v>291.983</v>
      </c>
      <c r="AB41" s="14">
        <f t="shared" si="7"/>
        <v>1.0912956019264012E-2</v>
      </c>
      <c r="AC41" s="38">
        <f t="shared" si="8"/>
        <v>1362.7189999999991</v>
      </c>
      <c r="AD41" s="37">
        <f t="shared" si="9"/>
        <v>1509.0599999999995</v>
      </c>
      <c r="AE41" s="19">
        <f t="shared" si="10"/>
        <v>10597.713</v>
      </c>
      <c r="AF41" s="20">
        <f t="shared" si="11"/>
        <v>11089.650000000011</v>
      </c>
      <c r="AG41" s="80">
        <f t="shared" si="12"/>
        <v>4.6419166097441102E-2</v>
      </c>
      <c r="AH41" s="84">
        <f t="shared" si="13"/>
        <v>0.12858613929250576</v>
      </c>
      <c r="AI41" s="85">
        <f t="shared" si="14"/>
        <v>0.13607823511111694</v>
      </c>
      <c r="AK41" s="12"/>
    </row>
    <row r="42" spans="1:37" ht="15" customHeight="1" x14ac:dyDescent="0.2">
      <c r="A42" s="65" t="s">
        <v>42</v>
      </c>
      <c r="B42" s="32">
        <v>11866.540400000005</v>
      </c>
      <c r="C42" s="32">
        <v>11392.517599999996</v>
      </c>
      <c r="D42" s="33">
        <f t="shared" si="0"/>
        <v>-3.9946166618200663E-2</v>
      </c>
      <c r="E42" s="15">
        <v>64.66</v>
      </c>
      <c r="F42" s="13">
        <v>83.06</v>
      </c>
      <c r="G42" s="42">
        <f t="shared" si="15"/>
        <v>0.28456541911537281</v>
      </c>
      <c r="H42" s="13">
        <v>381.14</v>
      </c>
      <c r="I42" s="13">
        <v>394.59399999999999</v>
      </c>
      <c r="J42" s="14">
        <f t="shared" si="1"/>
        <v>3.5299365062706638E-2</v>
      </c>
      <c r="K42" s="16">
        <v>672.65499999999997</v>
      </c>
      <c r="L42" s="13">
        <v>709.36399999999992</v>
      </c>
      <c r="M42" s="45">
        <f t="shared" si="2"/>
        <v>5.4573295374300272E-2</v>
      </c>
      <c r="N42" s="13">
        <v>545.44000000000005</v>
      </c>
      <c r="O42" s="13">
        <v>579.72000000000014</v>
      </c>
      <c r="P42" s="14">
        <f t="shared" si="3"/>
        <v>6.2848342622470091E-2</v>
      </c>
      <c r="Q42" s="17">
        <v>94.052000000000007</v>
      </c>
      <c r="R42" s="13">
        <v>88.718000000000032</v>
      </c>
      <c r="S42" s="48">
        <f t="shared" si="4"/>
        <v>-5.67133075320033E-2</v>
      </c>
      <c r="T42" s="13">
        <v>780.67</v>
      </c>
      <c r="U42" s="13">
        <v>888.87299999999959</v>
      </c>
      <c r="V42" s="14">
        <f t="shared" si="5"/>
        <v>0.13860273867319051</v>
      </c>
      <c r="W42" s="18">
        <v>1339.7820000000002</v>
      </c>
      <c r="X42" s="13">
        <v>2240.4399999999996</v>
      </c>
      <c r="Y42" s="51">
        <f t="shared" si="6"/>
        <v>0.67224220059681306</v>
      </c>
      <c r="Z42" s="13">
        <v>238.124</v>
      </c>
      <c r="AA42" s="13">
        <v>235.166</v>
      </c>
      <c r="AB42" s="14">
        <f t="shared" si="7"/>
        <v>-1.2422099410391218E-2</v>
      </c>
      <c r="AC42" s="38">
        <f t="shared" si="8"/>
        <v>4116.523000000001</v>
      </c>
      <c r="AD42" s="37">
        <f t="shared" si="9"/>
        <v>5219.9349999999977</v>
      </c>
      <c r="AE42" s="19">
        <f t="shared" si="10"/>
        <v>15983.063400000006</v>
      </c>
      <c r="AF42" s="20">
        <f t="shared" si="11"/>
        <v>16612.452599999993</v>
      </c>
      <c r="AG42" s="80">
        <f t="shared" si="12"/>
        <v>3.9378508628076056E-2</v>
      </c>
      <c r="AH42" s="84">
        <f t="shared" si="13"/>
        <v>0.25755531946397708</v>
      </c>
      <c r="AI42" s="85">
        <f t="shared" si="14"/>
        <v>0.3142182027956546</v>
      </c>
      <c r="AK42" s="12"/>
    </row>
    <row r="43" spans="1:37" ht="15" customHeight="1" x14ac:dyDescent="0.2">
      <c r="A43" s="65" t="s">
        <v>43</v>
      </c>
      <c r="B43" s="32">
        <v>1072.0999999999999</v>
      </c>
      <c r="C43" s="32">
        <v>1122.0000000000014</v>
      </c>
      <c r="D43" s="33">
        <f t="shared" si="0"/>
        <v>4.6544165656190149E-2</v>
      </c>
      <c r="E43" s="15"/>
      <c r="F43" s="13"/>
      <c r="G43" s="42"/>
      <c r="H43" s="13">
        <v>26.7</v>
      </c>
      <c r="I43" s="13">
        <v>25.745999999999999</v>
      </c>
      <c r="J43" s="14">
        <f t="shared" si="1"/>
        <v>-3.5730337078651711E-2</v>
      </c>
      <c r="K43" s="16">
        <v>49.015000000000001</v>
      </c>
      <c r="L43" s="13">
        <v>38.690000000000005</v>
      </c>
      <c r="M43" s="45">
        <f t="shared" si="2"/>
        <v>-0.21064980108130155</v>
      </c>
      <c r="N43" s="13">
        <v>51.28</v>
      </c>
      <c r="O43" s="13">
        <v>37.330000000000005</v>
      </c>
      <c r="P43" s="14">
        <f t="shared" si="3"/>
        <v>-0.27203588143525731</v>
      </c>
      <c r="Q43" s="17">
        <v>11.86</v>
      </c>
      <c r="R43" s="13">
        <v>22.299999999999994</v>
      </c>
      <c r="S43" s="48">
        <f t="shared" si="4"/>
        <v>0.88026981450252906</v>
      </c>
      <c r="T43" s="13">
        <v>31.86</v>
      </c>
      <c r="U43" s="13">
        <v>26.62</v>
      </c>
      <c r="V43" s="14">
        <f t="shared" si="5"/>
        <v>-0.16446955430006271</v>
      </c>
      <c r="W43" s="18">
        <v>1.4</v>
      </c>
      <c r="X43" s="13">
        <v>0.72</v>
      </c>
      <c r="Y43" s="51">
        <f t="shared" si="6"/>
        <v>-0.48571428571428571</v>
      </c>
      <c r="Z43" s="13">
        <v>1.22</v>
      </c>
      <c r="AA43" s="13">
        <v>0.24</v>
      </c>
      <c r="AB43" s="14">
        <f t="shared" si="7"/>
        <v>-0.80327868852459017</v>
      </c>
      <c r="AC43" s="38">
        <f t="shared" si="8"/>
        <v>173.33500000000004</v>
      </c>
      <c r="AD43" s="37">
        <f t="shared" si="9"/>
        <v>151.64599999999996</v>
      </c>
      <c r="AE43" s="19">
        <f t="shared" si="10"/>
        <v>1245.4349999999999</v>
      </c>
      <c r="AF43" s="20">
        <f t="shared" si="11"/>
        <v>1273.6460000000013</v>
      </c>
      <c r="AG43" s="80">
        <f t="shared" si="12"/>
        <v>2.2651523363323961E-2</v>
      </c>
      <c r="AH43" s="84">
        <f t="shared" si="13"/>
        <v>0.13917627174441063</v>
      </c>
      <c r="AI43" s="85">
        <f t="shared" si="14"/>
        <v>0.11906448102533969</v>
      </c>
      <c r="AK43" s="12"/>
    </row>
    <row r="44" spans="1:37" ht="15" customHeight="1" x14ac:dyDescent="0.2">
      <c r="A44" s="65" t="s">
        <v>44</v>
      </c>
      <c r="B44" s="32">
        <v>1058.538</v>
      </c>
      <c r="C44" s="32">
        <v>1086.3300000000002</v>
      </c>
      <c r="D44" s="33">
        <f t="shared" si="0"/>
        <v>2.6255080119939146E-2</v>
      </c>
      <c r="E44" s="15"/>
      <c r="F44" s="13"/>
      <c r="G44" s="42"/>
      <c r="H44" s="13">
        <v>34.4</v>
      </c>
      <c r="I44" s="13">
        <v>37.427000000000007</v>
      </c>
      <c r="J44" s="14">
        <f t="shared" si="1"/>
        <v>8.7994186046511866E-2</v>
      </c>
      <c r="K44" s="16">
        <v>45.784999999999997</v>
      </c>
      <c r="L44" s="13">
        <v>50.820000000000007</v>
      </c>
      <c r="M44" s="45">
        <f t="shared" si="2"/>
        <v>0.1099705143605987</v>
      </c>
      <c r="N44" s="13">
        <v>43.07</v>
      </c>
      <c r="O44" s="13">
        <v>44.71</v>
      </c>
      <c r="P44" s="14">
        <f t="shared" si="3"/>
        <v>3.8077548177385664E-2</v>
      </c>
      <c r="Q44" s="17">
        <v>31.92</v>
      </c>
      <c r="R44" s="13">
        <v>35.388000000000005</v>
      </c>
      <c r="S44" s="48">
        <f t="shared" si="4"/>
        <v>0.10864661654135349</v>
      </c>
      <c r="T44" s="13">
        <v>34.549999999999997</v>
      </c>
      <c r="U44" s="13">
        <v>66.907000000000025</v>
      </c>
      <c r="V44" s="14">
        <f t="shared" si="5"/>
        <v>0.93652677279305441</v>
      </c>
      <c r="W44" s="18">
        <v>49.417999999999999</v>
      </c>
      <c r="X44" s="13">
        <v>58.378000000000007</v>
      </c>
      <c r="Y44" s="51">
        <f t="shared" si="6"/>
        <v>0.1813104536808452</v>
      </c>
      <c r="Z44" s="13">
        <v>71.677599999999984</v>
      </c>
      <c r="AA44" s="13">
        <v>40.637300000000003</v>
      </c>
      <c r="AB44" s="14">
        <f t="shared" si="7"/>
        <v>-0.43305439914282828</v>
      </c>
      <c r="AC44" s="38">
        <f t="shared" si="8"/>
        <v>310.82060000000001</v>
      </c>
      <c r="AD44" s="37">
        <f t="shared" si="9"/>
        <v>334.26729999999975</v>
      </c>
      <c r="AE44" s="19">
        <f t="shared" si="10"/>
        <v>1369.3586</v>
      </c>
      <c r="AF44" s="20">
        <f t="shared" si="11"/>
        <v>1420.5972999999999</v>
      </c>
      <c r="AG44" s="80">
        <f t="shared" si="12"/>
        <v>3.7418029141526463E-2</v>
      </c>
      <c r="AH44" s="84">
        <f t="shared" si="13"/>
        <v>0.22698261799356284</v>
      </c>
      <c r="AI44" s="85">
        <f t="shared" si="14"/>
        <v>0.23530053168480594</v>
      </c>
      <c r="AK44" s="12"/>
    </row>
    <row r="45" spans="1:37" ht="15" customHeight="1" x14ac:dyDescent="0.2">
      <c r="A45" s="65" t="s">
        <v>45</v>
      </c>
      <c r="B45" s="32">
        <v>2311.433</v>
      </c>
      <c r="C45" s="32">
        <v>2062.1099999999997</v>
      </c>
      <c r="D45" s="33">
        <f t="shared" si="0"/>
        <v>-0.10786512090119001</v>
      </c>
      <c r="E45" s="15"/>
      <c r="F45" s="13"/>
      <c r="G45" s="42"/>
      <c r="H45" s="13">
        <v>47.024999999999999</v>
      </c>
      <c r="I45" s="13">
        <v>54.61399999999999</v>
      </c>
      <c r="J45" s="14">
        <f t="shared" si="1"/>
        <v>0.16138224348750646</v>
      </c>
      <c r="K45" s="16">
        <v>74.594999999999999</v>
      </c>
      <c r="L45" s="13">
        <v>81.603000000000009</v>
      </c>
      <c r="M45" s="45">
        <f t="shared" si="2"/>
        <v>9.3947315503720222E-2</v>
      </c>
      <c r="N45" s="13">
        <v>74.56</v>
      </c>
      <c r="O45" s="13">
        <v>85.72999999999999</v>
      </c>
      <c r="P45" s="14">
        <f t="shared" si="3"/>
        <v>0.14981223175965647</v>
      </c>
      <c r="Q45" s="17"/>
      <c r="R45" s="13">
        <v>15.772</v>
      </c>
      <c r="S45" s="48"/>
      <c r="T45" s="13"/>
      <c r="U45" s="13">
        <v>16.611999999999998</v>
      </c>
      <c r="V45" s="14"/>
      <c r="W45" s="18">
        <v>19.559999999999999</v>
      </c>
      <c r="X45" s="13">
        <v>63.932000000000002</v>
      </c>
      <c r="Y45" s="51">
        <f t="shared" si="6"/>
        <v>2.2685071574642128</v>
      </c>
      <c r="Z45" s="13">
        <v>1.1399999999999999</v>
      </c>
      <c r="AA45" s="13">
        <v>44.295999999999999</v>
      </c>
      <c r="AB45" s="14">
        <f t="shared" si="7"/>
        <v>37.856140350877197</v>
      </c>
      <c r="AC45" s="38">
        <f t="shared" si="8"/>
        <v>216.87999999999965</v>
      </c>
      <c r="AD45" s="37">
        <f t="shared" si="9"/>
        <v>362.55899999999974</v>
      </c>
      <c r="AE45" s="19">
        <f t="shared" si="10"/>
        <v>2528.3129999999996</v>
      </c>
      <c r="AF45" s="20">
        <f t="shared" si="11"/>
        <v>2424.6689999999994</v>
      </c>
      <c r="AG45" s="80">
        <f t="shared" si="12"/>
        <v>-4.0993342200906391E-2</v>
      </c>
      <c r="AH45" s="84">
        <f t="shared" si="13"/>
        <v>8.578051847219853E-2</v>
      </c>
      <c r="AI45" s="85">
        <f t="shared" si="14"/>
        <v>0.14952927595477974</v>
      </c>
      <c r="AK45" s="12"/>
    </row>
    <row r="46" spans="1:37" ht="15" customHeight="1" x14ac:dyDescent="0.2">
      <c r="A46" s="65" t="s">
        <v>46</v>
      </c>
      <c r="B46" s="32">
        <v>3659.82</v>
      </c>
      <c r="C46" s="32">
        <v>3720.9469999999997</v>
      </c>
      <c r="D46" s="33">
        <f t="shared" si="0"/>
        <v>1.6702187539277751E-2</v>
      </c>
      <c r="E46" s="15"/>
      <c r="F46" s="13"/>
      <c r="G46" s="42"/>
      <c r="H46" s="13">
        <v>133.06</v>
      </c>
      <c r="I46" s="13">
        <v>142.28699999999998</v>
      </c>
      <c r="J46" s="14">
        <f t="shared" si="1"/>
        <v>6.9344656545918953E-2</v>
      </c>
      <c r="K46" s="16">
        <v>220.11500000000001</v>
      </c>
      <c r="L46" s="13">
        <v>228.41600000000003</v>
      </c>
      <c r="M46" s="45">
        <f t="shared" si="2"/>
        <v>3.771210503600398E-2</v>
      </c>
      <c r="N46" s="13">
        <v>158.93</v>
      </c>
      <c r="O46" s="13">
        <v>181.19</v>
      </c>
      <c r="P46" s="14">
        <f t="shared" si="3"/>
        <v>0.14006166236707979</v>
      </c>
      <c r="Q46" s="17">
        <v>51.954000000000001</v>
      </c>
      <c r="R46" s="13">
        <v>57.924000000000014</v>
      </c>
      <c r="S46" s="48">
        <f t="shared" si="4"/>
        <v>0.11490934288024046</v>
      </c>
      <c r="T46" s="13">
        <v>236.22499999999999</v>
      </c>
      <c r="U46" s="13">
        <v>241.55100000000004</v>
      </c>
      <c r="V46" s="14">
        <f t="shared" si="5"/>
        <v>2.2546301195893959E-2</v>
      </c>
      <c r="W46" s="18">
        <v>105.779</v>
      </c>
      <c r="X46" s="13">
        <v>114.931</v>
      </c>
      <c r="Y46" s="51">
        <f t="shared" si="6"/>
        <v>8.6520008697378512E-2</v>
      </c>
      <c r="Z46" s="13">
        <v>160.49199999999999</v>
      </c>
      <c r="AA46" s="13">
        <v>150.18100000000001</v>
      </c>
      <c r="AB46" s="14">
        <f t="shared" si="7"/>
        <v>-6.4246192956658149E-2</v>
      </c>
      <c r="AC46" s="38">
        <f t="shared" si="8"/>
        <v>1066.5549999999998</v>
      </c>
      <c r="AD46" s="37">
        <f t="shared" si="9"/>
        <v>1116.4799999999991</v>
      </c>
      <c r="AE46" s="19">
        <f t="shared" si="10"/>
        <v>4726.375</v>
      </c>
      <c r="AF46" s="20">
        <f t="shared" si="11"/>
        <v>4837.4269999999988</v>
      </c>
      <c r="AG46" s="80">
        <f t="shared" si="12"/>
        <v>2.3496231255454501E-2</v>
      </c>
      <c r="AH46" s="84">
        <f t="shared" si="13"/>
        <v>0.22566025759699554</v>
      </c>
      <c r="AI46" s="85">
        <f t="shared" si="14"/>
        <v>0.2308003821039572</v>
      </c>
      <c r="AK46" s="12"/>
    </row>
    <row r="47" spans="1:37" ht="15" customHeight="1" x14ac:dyDescent="0.2">
      <c r="A47" s="65" t="s">
        <v>47</v>
      </c>
      <c r="B47" s="32">
        <v>2173.402</v>
      </c>
      <c r="C47" s="32">
        <v>2274.5740000000005</v>
      </c>
      <c r="D47" s="33">
        <f t="shared" si="0"/>
        <v>4.6550062988807629E-2</v>
      </c>
      <c r="E47" s="15">
        <v>165.77199999999999</v>
      </c>
      <c r="F47" s="13">
        <v>128.02000000000004</v>
      </c>
      <c r="G47" s="42">
        <f t="shared" si="15"/>
        <v>-0.22773447868156235</v>
      </c>
      <c r="H47" s="13">
        <v>100.855</v>
      </c>
      <c r="I47" s="13">
        <v>91.107000000000014</v>
      </c>
      <c r="J47" s="14">
        <f t="shared" si="1"/>
        <v>-9.6653611620643398E-2</v>
      </c>
      <c r="K47" s="16">
        <v>131.28</v>
      </c>
      <c r="L47" s="13">
        <v>141.97299999999998</v>
      </c>
      <c r="M47" s="45">
        <f t="shared" si="2"/>
        <v>8.1451858622790863E-2</v>
      </c>
      <c r="N47" s="13">
        <v>101.42</v>
      </c>
      <c r="O47" s="13">
        <v>110.82000000000001</v>
      </c>
      <c r="P47" s="14">
        <f t="shared" si="3"/>
        <v>9.268388877933352E-2</v>
      </c>
      <c r="Q47" s="17"/>
      <c r="R47" s="13"/>
      <c r="S47" s="48"/>
      <c r="T47" s="13">
        <v>44.82</v>
      </c>
      <c r="U47" s="13">
        <v>53.9</v>
      </c>
      <c r="V47" s="14">
        <f t="shared" si="5"/>
        <v>0.20258813029897363</v>
      </c>
      <c r="W47" s="18">
        <v>105</v>
      </c>
      <c r="X47" s="13">
        <v>125.71999999999998</v>
      </c>
      <c r="Y47" s="51">
        <f t="shared" si="6"/>
        <v>0.19733333333333319</v>
      </c>
      <c r="Z47" s="13"/>
      <c r="AA47" s="13">
        <v>23.34</v>
      </c>
      <c r="AB47" s="14"/>
      <c r="AC47" s="38">
        <f t="shared" si="8"/>
        <v>649.14700000000039</v>
      </c>
      <c r="AD47" s="37">
        <f t="shared" si="9"/>
        <v>674.88000000000011</v>
      </c>
      <c r="AE47" s="19">
        <f t="shared" si="10"/>
        <v>2822.5490000000004</v>
      </c>
      <c r="AF47" s="20">
        <f t="shared" si="11"/>
        <v>2949.4540000000006</v>
      </c>
      <c r="AG47" s="80">
        <f t="shared" si="12"/>
        <v>4.4961132649955833E-2</v>
      </c>
      <c r="AH47" s="84">
        <f t="shared" si="13"/>
        <v>0.22998608704401599</v>
      </c>
      <c r="AI47" s="85">
        <f t="shared" si="14"/>
        <v>0.22881523156489303</v>
      </c>
      <c r="AK47" s="12"/>
    </row>
    <row r="48" spans="1:37" ht="15" customHeight="1" x14ac:dyDescent="0.2">
      <c r="A48" s="65" t="s">
        <v>48</v>
      </c>
      <c r="B48" s="32">
        <v>570.73900000000003</v>
      </c>
      <c r="C48" s="32">
        <v>609.24000000000024</v>
      </c>
      <c r="D48" s="33">
        <f t="shared" si="0"/>
        <v>6.7458155128701916E-2</v>
      </c>
      <c r="E48" s="15"/>
      <c r="F48" s="13"/>
      <c r="G48" s="42"/>
      <c r="H48" s="13">
        <v>5.61</v>
      </c>
      <c r="I48" s="13">
        <v>7.1609999999999987</v>
      </c>
      <c r="J48" s="14">
        <f t="shared" si="1"/>
        <v>0.2764705882352938</v>
      </c>
      <c r="K48" s="16">
        <v>10.56</v>
      </c>
      <c r="L48" s="13">
        <v>10.494000000000002</v>
      </c>
      <c r="M48" s="45">
        <f t="shared" si="2"/>
        <v>-6.2499999999998997E-3</v>
      </c>
      <c r="N48" s="13">
        <v>12.48</v>
      </c>
      <c r="O48" s="13">
        <v>16.21</v>
      </c>
      <c r="P48" s="14">
        <f t="shared" si="3"/>
        <v>0.29887820512820518</v>
      </c>
      <c r="Q48" s="17"/>
      <c r="R48" s="13"/>
      <c r="S48" s="48"/>
      <c r="T48" s="13">
        <v>15.096</v>
      </c>
      <c r="U48" s="13">
        <v>39.676000000000002</v>
      </c>
      <c r="V48" s="14">
        <f t="shared" si="5"/>
        <v>1.6282458929517754</v>
      </c>
      <c r="W48" s="18"/>
      <c r="X48" s="13"/>
      <c r="Y48" s="51"/>
      <c r="Z48" s="13">
        <v>2.375</v>
      </c>
      <c r="AA48" s="13">
        <v>2.169</v>
      </c>
      <c r="AB48" s="14">
        <f t="shared" si="7"/>
        <v>-8.673684210526314E-2</v>
      </c>
      <c r="AC48" s="38">
        <f t="shared" si="8"/>
        <v>46.120999999999981</v>
      </c>
      <c r="AD48" s="37">
        <f t="shared" si="9"/>
        <v>75.710000000000036</v>
      </c>
      <c r="AE48" s="19">
        <f t="shared" si="10"/>
        <v>616.86</v>
      </c>
      <c r="AF48" s="20">
        <f t="shared" si="11"/>
        <v>684.95000000000027</v>
      </c>
      <c r="AG48" s="80">
        <f t="shared" si="12"/>
        <v>0.11038161008981009</v>
      </c>
      <c r="AH48" s="84">
        <f t="shared" si="13"/>
        <v>7.4767370229873842E-2</v>
      </c>
      <c r="AI48" s="85">
        <f t="shared" si="14"/>
        <v>0.11053361559237901</v>
      </c>
      <c r="AK48" s="12"/>
    </row>
    <row r="49" spans="1:37" ht="15" customHeight="1" x14ac:dyDescent="0.2">
      <c r="A49" s="65" t="s">
        <v>49</v>
      </c>
      <c r="B49" s="32">
        <v>60013.184000000001</v>
      </c>
      <c r="C49" s="32">
        <v>59674.69300000005</v>
      </c>
      <c r="D49" s="33">
        <f t="shared" si="0"/>
        <v>-5.6402773097316561E-3</v>
      </c>
      <c r="E49" s="15">
        <v>2345.1999999999998</v>
      </c>
      <c r="F49" s="13">
        <v>2485.4200000000064</v>
      </c>
      <c r="G49" s="42">
        <f t="shared" si="15"/>
        <v>5.9790209790212621E-2</v>
      </c>
      <c r="H49" s="13">
        <v>4098.0929999999998</v>
      </c>
      <c r="I49" s="13">
        <v>4131.0600000000004</v>
      </c>
      <c r="J49" s="14">
        <f t="shared" si="1"/>
        <v>8.0444733684668836E-3</v>
      </c>
      <c r="K49" s="16">
        <v>5871.7450000000008</v>
      </c>
      <c r="L49" s="13">
        <v>5863.7820000000002</v>
      </c>
      <c r="M49" s="45">
        <f t="shared" si="2"/>
        <v>-1.3561556232432857E-3</v>
      </c>
      <c r="N49" s="13">
        <v>3790.26</v>
      </c>
      <c r="O49" s="13">
        <v>3924.97</v>
      </c>
      <c r="P49" s="14">
        <f t="shared" si="3"/>
        <v>3.5541097444502373E-2</v>
      </c>
      <c r="Q49" s="17">
        <v>2542.12</v>
      </c>
      <c r="R49" s="13">
        <v>2208.3030000000026</v>
      </c>
      <c r="S49" s="48">
        <f t="shared" si="4"/>
        <v>-0.13131441474045177</v>
      </c>
      <c r="T49" s="13">
        <v>2926.7260000000001</v>
      </c>
      <c r="U49" s="13">
        <v>3328.857</v>
      </c>
      <c r="V49" s="14">
        <f t="shared" si="5"/>
        <v>0.13739960624944045</v>
      </c>
      <c r="W49" s="18">
        <v>1687.4920000000002</v>
      </c>
      <c r="X49" s="13">
        <v>1532.6040000000003</v>
      </c>
      <c r="Y49" s="51">
        <f t="shared" si="6"/>
        <v>-9.1785916614715746E-2</v>
      </c>
      <c r="Z49" s="13">
        <v>652.49399999999991</v>
      </c>
      <c r="AA49" s="13">
        <v>584.37669999999991</v>
      </c>
      <c r="AB49" s="14">
        <f t="shared" si="7"/>
        <v>-0.1043952894586004</v>
      </c>
      <c r="AC49" s="38">
        <f t="shared" si="8"/>
        <v>23914.129999999983</v>
      </c>
      <c r="AD49" s="37">
        <f t="shared" si="9"/>
        <v>24059.372700000014</v>
      </c>
      <c r="AE49" s="19">
        <f t="shared" si="10"/>
        <v>83927.313999999984</v>
      </c>
      <c r="AF49" s="20">
        <f t="shared" si="11"/>
        <v>83734.065700000065</v>
      </c>
      <c r="AG49" s="80">
        <f t="shared" si="12"/>
        <v>-2.302567433528485E-3</v>
      </c>
      <c r="AH49" s="84">
        <f t="shared" si="13"/>
        <v>0.28493858387985571</v>
      </c>
      <c r="AI49" s="85">
        <f t="shared" si="14"/>
        <v>0.28733075957638582</v>
      </c>
      <c r="AK49" s="12"/>
    </row>
    <row r="50" spans="1:37" ht="15" customHeight="1" x14ac:dyDescent="0.2">
      <c r="A50" s="65" t="s">
        <v>50</v>
      </c>
      <c r="B50" s="32">
        <v>2379.9699999999998</v>
      </c>
      <c r="C50" s="32">
        <v>2388.1099999999992</v>
      </c>
      <c r="D50" s="33">
        <f t="shared" si="0"/>
        <v>3.4202111791322657E-3</v>
      </c>
      <c r="E50" s="15"/>
      <c r="F50" s="13"/>
      <c r="G50" s="42"/>
      <c r="H50" s="13">
        <v>81.22</v>
      </c>
      <c r="I50" s="13">
        <v>86.581000000000017</v>
      </c>
      <c r="J50" s="14">
        <f t="shared" si="1"/>
        <v>6.6005909874415403E-2</v>
      </c>
      <c r="K50" s="16">
        <v>143.15</v>
      </c>
      <c r="L50" s="13">
        <v>145.22799999999998</v>
      </c>
      <c r="M50" s="45">
        <f t="shared" si="2"/>
        <v>1.4516241704505585E-2</v>
      </c>
      <c r="N50" s="13">
        <v>90.35</v>
      </c>
      <c r="O50" s="13">
        <v>79.77000000000001</v>
      </c>
      <c r="P50" s="14">
        <f t="shared" si="3"/>
        <v>-0.11710016602102916</v>
      </c>
      <c r="Q50" s="17"/>
      <c r="R50" s="13"/>
      <c r="S50" s="48"/>
      <c r="T50" s="13">
        <v>144.74</v>
      </c>
      <c r="U50" s="13">
        <v>115.22000000000001</v>
      </c>
      <c r="V50" s="14">
        <f t="shared" si="5"/>
        <v>-0.20395191377642666</v>
      </c>
      <c r="W50" s="18">
        <v>122.94</v>
      </c>
      <c r="X50" s="13">
        <v>0.48</v>
      </c>
      <c r="Y50" s="51">
        <f t="shared" si="6"/>
        <v>-0.99609565641776476</v>
      </c>
      <c r="Z50" s="13">
        <v>15.260000000000002</v>
      </c>
      <c r="AA50" s="13">
        <v>17.41</v>
      </c>
      <c r="AB50" s="14">
        <f t="shared" si="7"/>
        <v>0.14089121887287015</v>
      </c>
      <c r="AC50" s="38">
        <f t="shared" si="8"/>
        <v>597.65999999999985</v>
      </c>
      <c r="AD50" s="37">
        <f t="shared" si="9"/>
        <v>444.68899999999985</v>
      </c>
      <c r="AE50" s="19">
        <f t="shared" si="10"/>
        <v>2977.6299999999997</v>
      </c>
      <c r="AF50" s="20">
        <f t="shared" si="11"/>
        <v>2832.7989999999991</v>
      </c>
      <c r="AG50" s="80">
        <f t="shared" si="12"/>
        <v>-4.863968995476288E-2</v>
      </c>
      <c r="AH50" s="84">
        <f t="shared" si="13"/>
        <v>0.20071667735749571</v>
      </c>
      <c r="AI50" s="85">
        <f t="shared" si="14"/>
        <v>0.15697866315259218</v>
      </c>
      <c r="AK50" s="12"/>
    </row>
    <row r="51" spans="1:37" ht="15" customHeight="1" x14ac:dyDescent="0.2">
      <c r="A51" s="65" t="s">
        <v>51</v>
      </c>
      <c r="B51" s="32">
        <v>228.70720000000006</v>
      </c>
      <c r="C51" s="32">
        <v>241.59919999999994</v>
      </c>
      <c r="D51" s="33">
        <f t="shared" si="0"/>
        <v>5.6369016804017881E-2</v>
      </c>
      <c r="E51" s="15"/>
      <c r="F51" s="13"/>
      <c r="G51" s="42"/>
      <c r="H51" s="13">
        <v>4.16</v>
      </c>
      <c r="I51" s="13">
        <v>3.7950000000000004</v>
      </c>
      <c r="J51" s="14">
        <f t="shared" si="1"/>
        <v>-8.7740384615384553E-2</v>
      </c>
      <c r="K51" s="16">
        <v>6.08</v>
      </c>
      <c r="L51" s="13">
        <v>5.7910000000000004</v>
      </c>
      <c r="M51" s="45">
        <f t="shared" si="2"/>
        <v>-4.7532894736842059E-2</v>
      </c>
      <c r="N51" s="13">
        <v>10.66</v>
      </c>
      <c r="O51" s="13">
        <v>12.02</v>
      </c>
      <c r="P51" s="14">
        <f t="shared" si="3"/>
        <v>0.12757973733583483</v>
      </c>
      <c r="Q51" s="17">
        <v>1.1060000000000001</v>
      </c>
      <c r="R51" s="13">
        <v>2.774</v>
      </c>
      <c r="S51" s="48">
        <f t="shared" si="4"/>
        <v>1.508137432188065</v>
      </c>
      <c r="T51" s="13">
        <v>8.0210000000000008</v>
      </c>
      <c r="U51" s="13">
        <v>9.338000000000001</v>
      </c>
      <c r="V51" s="14">
        <f t="shared" si="5"/>
        <v>0.16419399077421767</v>
      </c>
      <c r="W51" s="18">
        <v>4.4219999999999997</v>
      </c>
      <c r="X51" s="13">
        <v>5.7409999999999997</v>
      </c>
      <c r="Y51" s="51">
        <f t="shared" si="6"/>
        <v>0.2982813206693804</v>
      </c>
      <c r="Z51" s="13">
        <v>6.7786999999999997</v>
      </c>
      <c r="AA51" s="13">
        <v>8.2562999999999995</v>
      </c>
      <c r="AB51" s="14">
        <f t="shared" si="7"/>
        <v>0.21797689822532343</v>
      </c>
      <c r="AC51" s="38">
        <f t="shared" si="8"/>
        <v>41.227700000000027</v>
      </c>
      <c r="AD51" s="37">
        <f t="shared" si="9"/>
        <v>47.715300000000013</v>
      </c>
      <c r="AE51" s="19">
        <f t="shared" si="10"/>
        <v>269.93490000000008</v>
      </c>
      <c r="AF51" s="20">
        <f t="shared" si="11"/>
        <v>289.31449999999995</v>
      </c>
      <c r="AG51" s="80">
        <f t="shared" si="12"/>
        <v>7.1793606532537524E-2</v>
      </c>
      <c r="AH51" s="84">
        <f t="shared" si="13"/>
        <v>0.152732010569956</v>
      </c>
      <c r="AI51" s="85">
        <f t="shared" si="14"/>
        <v>0.16492536668573479</v>
      </c>
      <c r="AK51" s="12"/>
    </row>
    <row r="52" spans="1:37" ht="15" customHeight="1" x14ac:dyDescent="0.2">
      <c r="A52" s="65" t="s">
        <v>52</v>
      </c>
      <c r="B52" s="32">
        <v>415.32480000000015</v>
      </c>
      <c r="C52" s="32">
        <v>437.91280000000023</v>
      </c>
      <c r="D52" s="33">
        <f t="shared" si="0"/>
        <v>5.4386350152940716E-2</v>
      </c>
      <c r="E52" s="15"/>
      <c r="F52" s="13"/>
      <c r="G52" s="42"/>
      <c r="H52" s="13">
        <v>9.57</v>
      </c>
      <c r="I52" s="13">
        <v>8.1820000000000004</v>
      </c>
      <c r="J52" s="14">
        <f t="shared" si="1"/>
        <v>-0.1450365726227795</v>
      </c>
      <c r="K52" s="16">
        <v>12.14</v>
      </c>
      <c r="L52" s="13">
        <v>11.981</v>
      </c>
      <c r="M52" s="45">
        <f t="shared" si="2"/>
        <v>-1.3097199341021474E-2</v>
      </c>
      <c r="N52" s="13">
        <v>20.77</v>
      </c>
      <c r="O52" s="13">
        <v>34.729999999999997</v>
      </c>
      <c r="P52" s="14">
        <f t="shared" si="3"/>
        <v>0.67212325469427048</v>
      </c>
      <c r="Q52" s="17">
        <v>2.552</v>
      </c>
      <c r="R52" s="13">
        <v>6.4030000000000005</v>
      </c>
      <c r="S52" s="48">
        <f t="shared" si="4"/>
        <v>1.5090125391849531</v>
      </c>
      <c r="T52" s="13">
        <v>28.798999999999999</v>
      </c>
      <c r="U52" s="13">
        <v>19.143000000000001</v>
      </c>
      <c r="V52" s="14">
        <f t="shared" si="5"/>
        <v>-0.33528941977151983</v>
      </c>
      <c r="W52" s="18">
        <v>11.308</v>
      </c>
      <c r="X52" s="13">
        <v>13.751000000000001</v>
      </c>
      <c r="Y52" s="51">
        <f t="shared" si="6"/>
        <v>0.21604174036080664</v>
      </c>
      <c r="Z52" s="13">
        <v>23.419499999999999</v>
      </c>
      <c r="AA52" s="13">
        <v>27.869699999999998</v>
      </c>
      <c r="AB52" s="14">
        <f t="shared" si="7"/>
        <v>0.19002113623262662</v>
      </c>
      <c r="AC52" s="38">
        <f t="shared" si="8"/>
        <v>108.55849999999992</v>
      </c>
      <c r="AD52" s="37">
        <f t="shared" si="9"/>
        <v>122.05969999999996</v>
      </c>
      <c r="AE52" s="19">
        <f t="shared" si="10"/>
        <v>523.88330000000008</v>
      </c>
      <c r="AF52" s="20">
        <f t="shared" si="11"/>
        <v>559.9725000000002</v>
      </c>
      <c r="AG52" s="80">
        <f t="shared" si="12"/>
        <v>6.8887861094255362E-2</v>
      </c>
      <c r="AH52" s="84">
        <f t="shared" si="13"/>
        <v>0.20721885962007169</v>
      </c>
      <c r="AI52" s="85">
        <f t="shared" si="14"/>
        <v>0.21797445410265667</v>
      </c>
      <c r="AK52" s="12"/>
    </row>
    <row r="53" spans="1:37" ht="15" customHeight="1" x14ac:dyDescent="0.2">
      <c r="A53" s="65" t="s">
        <v>53</v>
      </c>
      <c r="B53" s="32">
        <v>72.430999999999983</v>
      </c>
      <c r="C53" s="32">
        <v>63.281800000000018</v>
      </c>
      <c r="D53" s="33">
        <f t="shared" si="0"/>
        <v>-0.12631608013143497</v>
      </c>
      <c r="E53" s="15"/>
      <c r="F53" s="13"/>
      <c r="G53" s="42"/>
      <c r="H53" s="13">
        <v>1.345</v>
      </c>
      <c r="I53" s="13">
        <v>1.1350000000000002</v>
      </c>
      <c r="J53" s="14">
        <f t="shared" si="1"/>
        <v>-0.15613382899628234</v>
      </c>
      <c r="K53" s="16">
        <v>1.43</v>
      </c>
      <c r="L53" s="13">
        <v>1.5400000000000003</v>
      </c>
      <c r="M53" s="45">
        <f t="shared" si="2"/>
        <v>7.6923076923077149E-2</v>
      </c>
      <c r="N53" s="13">
        <v>1.1000000000000001</v>
      </c>
      <c r="O53" s="13">
        <v>2.4900000000000002</v>
      </c>
      <c r="P53" s="14">
        <f t="shared" si="3"/>
        <v>1.2636363636363637</v>
      </c>
      <c r="Q53" s="17"/>
      <c r="R53" s="13"/>
      <c r="S53" s="48"/>
      <c r="T53" s="13">
        <v>7.0679999999999996</v>
      </c>
      <c r="U53" s="13"/>
      <c r="V53" s="14">
        <f t="shared" si="5"/>
        <v>-1</v>
      </c>
      <c r="W53" s="18"/>
      <c r="X53" s="13"/>
      <c r="Y53" s="51"/>
      <c r="Z53" s="13">
        <v>0.81200000000000006</v>
      </c>
      <c r="AA53" s="13">
        <v>0.53300000000000003</v>
      </c>
      <c r="AB53" s="14">
        <f t="shared" si="7"/>
        <v>-0.34359605911330049</v>
      </c>
      <c r="AC53" s="38">
        <f t="shared" si="8"/>
        <v>11.754999999999995</v>
      </c>
      <c r="AD53" s="37">
        <f t="shared" si="9"/>
        <v>5.6980000000000075</v>
      </c>
      <c r="AE53" s="19">
        <f t="shared" si="10"/>
        <v>84.185999999999979</v>
      </c>
      <c r="AF53" s="20">
        <f t="shared" si="11"/>
        <v>68.979800000000026</v>
      </c>
      <c r="AG53" s="80">
        <f t="shared" si="12"/>
        <v>-0.18062623239018313</v>
      </c>
      <c r="AH53" s="84">
        <f t="shared" si="13"/>
        <v>0.13963129261397381</v>
      </c>
      <c r="AI53" s="85">
        <f t="shared" si="14"/>
        <v>8.260389273381491E-2</v>
      </c>
      <c r="AK53" s="12"/>
    </row>
    <row r="54" spans="1:37" ht="15" customHeight="1" x14ac:dyDescent="0.2">
      <c r="A54" s="65" t="s">
        <v>54</v>
      </c>
      <c r="B54" s="32">
        <v>2785.46</v>
      </c>
      <c r="C54" s="32">
        <v>2814.8699999999981</v>
      </c>
      <c r="D54" s="33">
        <f t="shared" si="0"/>
        <v>1.0558399689817134E-2</v>
      </c>
      <c r="E54" s="15"/>
      <c r="F54" s="13"/>
      <c r="G54" s="42"/>
      <c r="H54" s="13">
        <v>66.66</v>
      </c>
      <c r="I54" s="13">
        <v>69.736999999999995</v>
      </c>
      <c r="J54" s="14">
        <f t="shared" si="1"/>
        <v>4.6159615961596137E-2</v>
      </c>
      <c r="K54" s="16">
        <v>97.25</v>
      </c>
      <c r="L54" s="13">
        <v>102.46499999999999</v>
      </c>
      <c r="M54" s="45">
        <f t="shared" si="2"/>
        <v>5.3624678663238966E-2</v>
      </c>
      <c r="N54" s="13">
        <v>111.93</v>
      </c>
      <c r="O54" s="13">
        <v>123.6</v>
      </c>
      <c r="P54" s="14">
        <f t="shared" si="3"/>
        <v>0.10426159206647</v>
      </c>
      <c r="Q54" s="17">
        <v>47.966000000000001</v>
      </c>
      <c r="R54" s="13">
        <v>20.939999999999998</v>
      </c>
      <c r="S54" s="48">
        <f t="shared" si="4"/>
        <v>-0.56344077054580333</v>
      </c>
      <c r="T54" s="13">
        <v>54.001000000000005</v>
      </c>
      <c r="U54" s="13">
        <v>50.779999999999994</v>
      </c>
      <c r="V54" s="14">
        <f t="shared" si="5"/>
        <v>-5.9647043573267354E-2</v>
      </c>
      <c r="W54" s="18">
        <v>71.295000000000002</v>
      </c>
      <c r="X54" s="13">
        <v>82.962999999999994</v>
      </c>
      <c r="Y54" s="51">
        <f t="shared" si="6"/>
        <v>0.16365804053580182</v>
      </c>
      <c r="Z54" s="13">
        <v>107.42900000000002</v>
      </c>
      <c r="AA54" s="13">
        <v>122.57299999999999</v>
      </c>
      <c r="AB54" s="14">
        <f t="shared" si="7"/>
        <v>0.14096752273594629</v>
      </c>
      <c r="AC54" s="38">
        <f t="shared" si="8"/>
        <v>556.53099999999995</v>
      </c>
      <c r="AD54" s="37">
        <f t="shared" si="9"/>
        <v>573.05800000000045</v>
      </c>
      <c r="AE54" s="19">
        <f t="shared" si="10"/>
        <v>3341.991</v>
      </c>
      <c r="AF54" s="20">
        <f t="shared" si="11"/>
        <v>3387.9279999999985</v>
      </c>
      <c r="AG54" s="80">
        <f t="shared" si="12"/>
        <v>1.3745399074982109E-2</v>
      </c>
      <c r="AH54" s="84">
        <f t="shared" si="13"/>
        <v>0.16652677999432072</v>
      </c>
      <c r="AI54" s="85">
        <f t="shared" si="14"/>
        <v>0.16914704208590051</v>
      </c>
      <c r="AK54" s="12"/>
    </row>
    <row r="55" spans="1:37" ht="15" customHeight="1" x14ac:dyDescent="0.2">
      <c r="A55" s="65" t="s">
        <v>55</v>
      </c>
      <c r="B55" s="32">
        <v>240.595</v>
      </c>
      <c r="C55" s="32">
        <v>233.68699999999998</v>
      </c>
      <c r="D55" s="33">
        <f t="shared" si="0"/>
        <v>-2.8712151125335171E-2</v>
      </c>
      <c r="E55" s="15"/>
      <c r="F55" s="13"/>
      <c r="G55" s="42"/>
      <c r="H55" s="13">
        <v>4.0199999999999996</v>
      </c>
      <c r="I55" s="13">
        <v>5.1340000000000003</v>
      </c>
      <c r="J55" s="14">
        <f t="shared" si="1"/>
        <v>0.27711442786069673</v>
      </c>
      <c r="K55" s="16">
        <v>3.45</v>
      </c>
      <c r="L55" s="13">
        <v>4.044999999999999</v>
      </c>
      <c r="M55" s="45">
        <f t="shared" si="2"/>
        <v>0.17246376811594169</v>
      </c>
      <c r="N55" s="13">
        <v>12.25</v>
      </c>
      <c r="O55" s="13">
        <v>10.89</v>
      </c>
      <c r="P55" s="14">
        <f t="shared" si="3"/>
        <v>-0.11102040816326526</v>
      </c>
      <c r="Q55" s="17"/>
      <c r="R55" s="13"/>
      <c r="S55" s="48"/>
      <c r="T55" s="13">
        <v>9.3230000000000004</v>
      </c>
      <c r="U55" s="13">
        <v>12.336</v>
      </c>
      <c r="V55" s="14">
        <f t="shared" si="5"/>
        <v>0.32317923415209693</v>
      </c>
      <c r="W55" s="18"/>
      <c r="X55" s="13"/>
      <c r="Y55" s="51"/>
      <c r="Z55" s="13">
        <v>1.9380000000000002</v>
      </c>
      <c r="AA55" s="13">
        <v>8.8030000000000008</v>
      </c>
      <c r="AB55" s="14">
        <f t="shared" si="7"/>
        <v>3.5423116615067078</v>
      </c>
      <c r="AC55" s="38">
        <f t="shared" si="8"/>
        <v>30.980999999999966</v>
      </c>
      <c r="AD55" s="37">
        <f t="shared" si="9"/>
        <v>41.207999999999998</v>
      </c>
      <c r="AE55" s="19">
        <f t="shared" si="10"/>
        <v>271.57599999999996</v>
      </c>
      <c r="AF55" s="20">
        <f t="shared" si="11"/>
        <v>274.89499999999998</v>
      </c>
      <c r="AG55" s="80">
        <f t="shared" si="12"/>
        <v>1.2221256664801077E-2</v>
      </c>
      <c r="AH55" s="84">
        <f t="shared" si="13"/>
        <v>0.11407856364332625</v>
      </c>
      <c r="AI55" s="85">
        <f t="shared" si="14"/>
        <v>0.14990450899434329</v>
      </c>
      <c r="AK55" s="12"/>
    </row>
    <row r="56" spans="1:37" ht="15" customHeight="1" x14ac:dyDescent="0.2">
      <c r="A56" s="65" t="s">
        <v>56</v>
      </c>
      <c r="B56" s="32">
        <v>3747.2719999999999</v>
      </c>
      <c r="C56" s="32">
        <v>3744.9280000000053</v>
      </c>
      <c r="D56" s="33">
        <f t="shared" si="0"/>
        <v>-6.2552171286060743E-4</v>
      </c>
      <c r="E56" s="15"/>
      <c r="F56" s="13"/>
      <c r="G56" s="42"/>
      <c r="H56" s="13">
        <v>67.05</v>
      </c>
      <c r="I56" s="13">
        <v>69.340999999999994</v>
      </c>
      <c r="J56" s="14">
        <f t="shared" si="1"/>
        <v>3.4168530947054389E-2</v>
      </c>
      <c r="K56" s="16">
        <v>108.27500000000001</v>
      </c>
      <c r="L56" s="13">
        <v>107.681</v>
      </c>
      <c r="M56" s="45">
        <f t="shared" si="2"/>
        <v>-5.486030939736858E-3</v>
      </c>
      <c r="N56" s="13">
        <v>91.58</v>
      </c>
      <c r="O56" s="13">
        <v>91.17</v>
      </c>
      <c r="P56" s="14">
        <f t="shared" si="3"/>
        <v>-4.4769600349420903E-3</v>
      </c>
      <c r="Q56" s="17">
        <v>3.347</v>
      </c>
      <c r="R56" s="13">
        <v>9.7430000000000003</v>
      </c>
      <c r="S56" s="48">
        <f t="shared" si="4"/>
        <v>1.9109650433223786</v>
      </c>
      <c r="T56" s="13">
        <v>89.796999999999997</v>
      </c>
      <c r="U56" s="13">
        <v>103.92400000000001</v>
      </c>
      <c r="V56" s="14">
        <f t="shared" si="5"/>
        <v>0.15732151408176231</v>
      </c>
      <c r="W56" s="18">
        <v>5.76</v>
      </c>
      <c r="X56" s="13">
        <v>8.6610000000000014</v>
      </c>
      <c r="Y56" s="51">
        <f t="shared" si="6"/>
        <v>0.50364583333333368</v>
      </c>
      <c r="Z56" s="13">
        <v>1.9388999999999996</v>
      </c>
      <c r="AA56" s="13">
        <v>5.6937000000000006</v>
      </c>
      <c r="AB56" s="14">
        <f t="shared" si="7"/>
        <v>1.9365619681262582</v>
      </c>
      <c r="AC56" s="38">
        <f t="shared" si="8"/>
        <v>367.7479000000003</v>
      </c>
      <c r="AD56" s="37">
        <f t="shared" si="9"/>
        <v>396.21370000000024</v>
      </c>
      <c r="AE56" s="19">
        <f t="shared" si="10"/>
        <v>4115.0199000000002</v>
      </c>
      <c r="AF56" s="20">
        <f t="shared" si="11"/>
        <v>4141.1417000000056</v>
      </c>
      <c r="AG56" s="80">
        <f t="shared" si="12"/>
        <v>6.3479158387558096E-3</v>
      </c>
      <c r="AH56" s="84">
        <f t="shared" si="13"/>
        <v>8.936722274417197E-2</v>
      </c>
      <c r="AI56" s="85">
        <f t="shared" si="14"/>
        <v>9.5677407030046735E-2</v>
      </c>
      <c r="AK56" s="12"/>
    </row>
    <row r="57" spans="1:37" ht="15" customHeight="1" x14ac:dyDescent="0.2">
      <c r="A57" s="65" t="s">
        <v>57</v>
      </c>
      <c r="B57" s="32">
        <v>276.87400000000002</v>
      </c>
      <c r="C57" s="32">
        <v>283.98599999999999</v>
      </c>
      <c r="D57" s="33">
        <f t="shared" si="0"/>
        <v>2.5686774489478845E-2</v>
      </c>
      <c r="E57" s="15"/>
      <c r="F57" s="13"/>
      <c r="G57" s="42"/>
      <c r="H57" s="13">
        <v>4.7750000000000004</v>
      </c>
      <c r="I57" s="13">
        <v>5.141</v>
      </c>
      <c r="J57" s="14">
        <f t="shared" si="1"/>
        <v>7.6649214659685785E-2</v>
      </c>
      <c r="K57" s="16">
        <v>7.31</v>
      </c>
      <c r="L57" s="13">
        <v>7.1169999999999991</v>
      </c>
      <c r="M57" s="45">
        <f t="shared" si="2"/>
        <v>-2.6402188782489809E-2</v>
      </c>
      <c r="N57" s="13">
        <v>13.38</v>
      </c>
      <c r="O57" s="13">
        <v>15.4</v>
      </c>
      <c r="P57" s="14">
        <f t="shared" si="3"/>
        <v>0.15097159940209265</v>
      </c>
      <c r="Q57" s="17"/>
      <c r="R57" s="13"/>
      <c r="S57" s="48"/>
      <c r="T57" s="13"/>
      <c r="U57" s="13"/>
      <c r="V57" s="14"/>
      <c r="W57" s="18">
        <v>25.34</v>
      </c>
      <c r="X57" s="13"/>
      <c r="Y57" s="51">
        <f t="shared" si="6"/>
        <v>-1</v>
      </c>
      <c r="Z57" s="13">
        <v>1.8880000000000003</v>
      </c>
      <c r="AA57" s="13">
        <v>1.43</v>
      </c>
      <c r="AB57" s="14">
        <f t="shared" si="7"/>
        <v>-0.24258474576271202</v>
      </c>
      <c r="AC57" s="38">
        <f t="shared" si="8"/>
        <v>52.692999999999927</v>
      </c>
      <c r="AD57" s="37">
        <f t="shared" si="9"/>
        <v>29.088000000000022</v>
      </c>
      <c r="AE57" s="19">
        <f t="shared" si="10"/>
        <v>329.56699999999995</v>
      </c>
      <c r="AF57" s="20">
        <f t="shared" si="11"/>
        <v>313.07400000000001</v>
      </c>
      <c r="AG57" s="80">
        <f t="shared" si="12"/>
        <v>-5.0044452266155108E-2</v>
      </c>
      <c r="AH57" s="84">
        <f t="shared" si="13"/>
        <v>0.15988554679321634</v>
      </c>
      <c r="AI57" s="85">
        <f t="shared" si="14"/>
        <v>9.2910941183234702E-2</v>
      </c>
      <c r="AK57" s="12"/>
    </row>
    <row r="58" spans="1:37" ht="15" customHeight="1" x14ac:dyDescent="0.2">
      <c r="A58" s="65" t="s">
        <v>58</v>
      </c>
      <c r="B58" s="32">
        <v>475.68599999999998</v>
      </c>
      <c r="C58" s="32">
        <v>487.90600000000001</v>
      </c>
      <c r="D58" s="33">
        <f t="shared" si="0"/>
        <v>2.5689215154534772E-2</v>
      </c>
      <c r="E58" s="15"/>
      <c r="F58" s="13"/>
      <c r="G58" s="42"/>
      <c r="H58" s="13">
        <v>8.73</v>
      </c>
      <c r="I58" s="13">
        <v>7.902000000000001</v>
      </c>
      <c r="J58" s="14">
        <f t="shared" si="1"/>
        <v>-9.4845360824742195E-2</v>
      </c>
      <c r="K58" s="16">
        <v>10.914999999999999</v>
      </c>
      <c r="L58" s="13">
        <v>12.166</v>
      </c>
      <c r="M58" s="45">
        <f t="shared" si="2"/>
        <v>0.11461291800274863</v>
      </c>
      <c r="N58" s="13">
        <v>15.4</v>
      </c>
      <c r="O58" s="13">
        <v>15.549999999999999</v>
      </c>
      <c r="P58" s="14">
        <f t="shared" si="3"/>
        <v>9.7402597402596481E-3</v>
      </c>
      <c r="Q58" s="17"/>
      <c r="R58" s="13"/>
      <c r="S58" s="48"/>
      <c r="T58" s="13">
        <v>11.84</v>
      </c>
      <c r="U58" s="13">
        <v>7.2200000000000006</v>
      </c>
      <c r="V58" s="14">
        <f t="shared" si="5"/>
        <v>-0.39020270270270263</v>
      </c>
      <c r="W58" s="18"/>
      <c r="X58" s="13"/>
      <c r="Y58" s="51"/>
      <c r="Z58" s="13">
        <v>2.883</v>
      </c>
      <c r="AA58" s="13">
        <v>1.7</v>
      </c>
      <c r="AB58" s="14">
        <f t="shared" si="7"/>
        <v>-0.41033645508151234</v>
      </c>
      <c r="AC58" s="38">
        <f t="shared" si="8"/>
        <v>49.768000000000086</v>
      </c>
      <c r="AD58" s="37">
        <f t="shared" si="9"/>
        <v>44.538000000000068</v>
      </c>
      <c r="AE58" s="19">
        <f t="shared" si="10"/>
        <v>525.45400000000006</v>
      </c>
      <c r="AF58" s="20">
        <f t="shared" si="11"/>
        <v>532.44400000000007</v>
      </c>
      <c r="AG58" s="80">
        <f t="shared" si="12"/>
        <v>1.3302781975206217E-2</v>
      </c>
      <c r="AH58" s="84">
        <f t="shared" si="13"/>
        <v>9.4714285170538398E-2</v>
      </c>
      <c r="AI58" s="85">
        <f t="shared" si="14"/>
        <v>8.3648233429243379E-2</v>
      </c>
      <c r="AK58" s="12"/>
    </row>
    <row r="59" spans="1:37" ht="15" customHeight="1" x14ac:dyDescent="0.2">
      <c r="A59" s="65" t="s">
        <v>59</v>
      </c>
      <c r="B59" s="32">
        <v>954.88800000000003</v>
      </c>
      <c r="C59" s="32">
        <v>1010.5680000000002</v>
      </c>
      <c r="D59" s="33">
        <f t="shared" si="0"/>
        <v>5.8310503430769031E-2</v>
      </c>
      <c r="E59" s="15"/>
      <c r="F59" s="13"/>
      <c r="G59" s="42"/>
      <c r="H59" s="13">
        <v>34.92</v>
      </c>
      <c r="I59" s="13">
        <v>43.902000000000008</v>
      </c>
      <c r="J59" s="14">
        <f t="shared" si="1"/>
        <v>0.25721649484536102</v>
      </c>
      <c r="K59" s="16">
        <v>45.42</v>
      </c>
      <c r="L59" s="13">
        <v>49.356999999999992</v>
      </c>
      <c r="M59" s="45">
        <f t="shared" si="2"/>
        <v>8.667987670629658E-2</v>
      </c>
      <c r="N59" s="13">
        <v>39.94</v>
      </c>
      <c r="O59" s="13">
        <v>42.56</v>
      </c>
      <c r="P59" s="14">
        <f t="shared" si="3"/>
        <v>6.5598397596394714E-2</v>
      </c>
      <c r="Q59" s="17">
        <v>3.63</v>
      </c>
      <c r="R59" s="13">
        <v>9.1069999999999993</v>
      </c>
      <c r="S59" s="48">
        <f t="shared" si="4"/>
        <v>1.5088154269972451</v>
      </c>
      <c r="T59" s="13">
        <v>15.952999999999999</v>
      </c>
      <c r="U59" s="13">
        <v>21.067</v>
      </c>
      <c r="V59" s="14">
        <f t="shared" si="5"/>
        <v>0.32056666457719557</v>
      </c>
      <c r="W59" s="18">
        <v>15.839</v>
      </c>
      <c r="X59" s="13">
        <v>18.927999999999997</v>
      </c>
      <c r="Y59" s="51">
        <f t="shared" si="6"/>
        <v>0.19502493844308333</v>
      </c>
      <c r="Z59" s="13">
        <v>48.143799999999999</v>
      </c>
      <c r="AA59" s="13">
        <v>45.798999999999999</v>
      </c>
      <c r="AB59" s="14">
        <f t="shared" si="7"/>
        <v>-4.8704090661725902E-2</v>
      </c>
      <c r="AC59" s="38">
        <f t="shared" si="8"/>
        <v>203.84580000000017</v>
      </c>
      <c r="AD59" s="37">
        <f t="shared" si="9"/>
        <v>230.7199999999998</v>
      </c>
      <c r="AE59" s="19">
        <f t="shared" si="10"/>
        <v>1158.7338000000002</v>
      </c>
      <c r="AF59" s="20">
        <f t="shared" si="11"/>
        <v>1241.288</v>
      </c>
      <c r="AG59" s="80">
        <f t="shared" si="12"/>
        <v>7.1245181593908621E-2</v>
      </c>
      <c r="AH59" s="84">
        <f t="shared" si="13"/>
        <v>0.17592116498198304</v>
      </c>
      <c r="AI59" s="85">
        <f t="shared" si="14"/>
        <v>0.18587144965551894</v>
      </c>
      <c r="AK59" s="12"/>
    </row>
    <row r="60" spans="1:37" ht="15" customHeight="1" x14ac:dyDescent="0.2">
      <c r="A60" s="65" t="s">
        <v>60</v>
      </c>
      <c r="B60" s="32">
        <v>4197.04</v>
      </c>
      <c r="C60" s="32">
        <v>4521.319999999997</v>
      </c>
      <c r="D60" s="33">
        <f t="shared" si="0"/>
        <v>7.7263976516782545E-2</v>
      </c>
      <c r="E60" s="15"/>
      <c r="F60" s="13"/>
      <c r="G60" s="42"/>
      <c r="H60" s="13">
        <v>92.24</v>
      </c>
      <c r="I60" s="13">
        <v>87.720999999999989</v>
      </c>
      <c r="J60" s="14">
        <f t="shared" si="1"/>
        <v>-4.8991760624457995E-2</v>
      </c>
      <c r="K60" s="16">
        <v>116.96</v>
      </c>
      <c r="L60" s="13">
        <v>126.24499999999999</v>
      </c>
      <c r="M60" s="45">
        <f t="shared" si="2"/>
        <v>7.9386114911080691E-2</v>
      </c>
      <c r="N60" s="13">
        <v>121.8</v>
      </c>
      <c r="O60" s="13">
        <v>137.98000000000002</v>
      </c>
      <c r="P60" s="14">
        <f t="shared" si="3"/>
        <v>0.1328407224958951</v>
      </c>
      <c r="Q60" s="17">
        <v>1.82</v>
      </c>
      <c r="R60" s="13">
        <v>1.3599999999999999</v>
      </c>
      <c r="S60" s="48">
        <f t="shared" si="4"/>
        <v>-0.25274725274725285</v>
      </c>
      <c r="T60" s="13">
        <v>95.54</v>
      </c>
      <c r="U60" s="13">
        <v>99.259999999999991</v>
      </c>
      <c r="V60" s="14">
        <f t="shared" si="5"/>
        <v>3.893657106970886E-2</v>
      </c>
      <c r="W60" s="18">
        <v>10</v>
      </c>
      <c r="X60" s="13">
        <v>20.400000000000002</v>
      </c>
      <c r="Y60" s="51">
        <f t="shared" si="6"/>
        <v>1.0400000000000003</v>
      </c>
      <c r="Z60" s="13">
        <v>158.52000000000001</v>
      </c>
      <c r="AA60" s="13">
        <v>129.13300000000001</v>
      </c>
      <c r="AB60" s="14">
        <f t="shared" si="7"/>
        <v>-0.18538354781731012</v>
      </c>
      <c r="AC60" s="38">
        <f t="shared" si="8"/>
        <v>596.88000000000011</v>
      </c>
      <c r="AD60" s="37">
        <f t="shared" si="9"/>
        <v>602.09899999999834</v>
      </c>
      <c r="AE60" s="19">
        <f t="shared" si="10"/>
        <v>4793.92</v>
      </c>
      <c r="AF60" s="20">
        <f t="shared" si="11"/>
        <v>5123.4189999999953</v>
      </c>
      <c r="AG60" s="80">
        <f t="shared" si="12"/>
        <v>6.8732686402775856E-2</v>
      </c>
      <c r="AH60" s="84">
        <f t="shared" si="13"/>
        <v>0.12450770976570324</v>
      </c>
      <c r="AI60" s="85">
        <f t="shared" si="14"/>
        <v>0.11751898488099428</v>
      </c>
      <c r="AK60" s="12"/>
    </row>
    <row r="61" spans="1:37" ht="15" customHeight="1" x14ac:dyDescent="0.2">
      <c r="A61" s="65" t="s">
        <v>61</v>
      </c>
      <c r="B61" s="32">
        <v>1222.1199999999999</v>
      </c>
      <c r="C61" s="32">
        <v>1218.7000000000005</v>
      </c>
      <c r="D61" s="33">
        <f t="shared" si="0"/>
        <v>-2.7984158675084204E-3</v>
      </c>
      <c r="E61" s="15"/>
      <c r="F61" s="13"/>
      <c r="G61" s="42"/>
      <c r="H61" s="13">
        <v>29.24</v>
      </c>
      <c r="I61" s="13">
        <v>27.584</v>
      </c>
      <c r="J61" s="14">
        <f t="shared" si="1"/>
        <v>-5.6634746922024588E-2</v>
      </c>
      <c r="K61" s="16">
        <v>40.630000000000003</v>
      </c>
      <c r="L61" s="13">
        <v>34.871000000000002</v>
      </c>
      <c r="M61" s="45">
        <f t="shared" si="2"/>
        <v>-0.14174255476249076</v>
      </c>
      <c r="N61" s="13">
        <v>41.2</v>
      </c>
      <c r="O61" s="13">
        <v>36.909999999999997</v>
      </c>
      <c r="P61" s="14">
        <f t="shared" si="3"/>
        <v>-0.10412621359223316</v>
      </c>
      <c r="Q61" s="17"/>
      <c r="R61" s="13"/>
      <c r="S61" s="48"/>
      <c r="T61" s="13"/>
      <c r="U61" s="13"/>
      <c r="V61" s="14"/>
      <c r="W61" s="18"/>
      <c r="X61" s="13"/>
      <c r="Y61" s="51"/>
      <c r="Z61" s="13">
        <v>0.9</v>
      </c>
      <c r="AA61" s="13">
        <v>1.41</v>
      </c>
      <c r="AB61" s="14">
        <f t="shared" si="7"/>
        <v>0.56666666666666654</v>
      </c>
      <c r="AC61" s="38">
        <f t="shared" si="8"/>
        <v>111.97000000000025</v>
      </c>
      <c r="AD61" s="37">
        <f t="shared" si="9"/>
        <v>100.77500000000032</v>
      </c>
      <c r="AE61" s="19">
        <f t="shared" si="10"/>
        <v>1334.0900000000001</v>
      </c>
      <c r="AF61" s="20">
        <f t="shared" si="11"/>
        <v>1319.4750000000008</v>
      </c>
      <c r="AG61" s="80">
        <f t="shared" si="12"/>
        <v>-1.0955033018761348E-2</v>
      </c>
      <c r="AH61" s="84">
        <f t="shared" si="13"/>
        <v>8.3929869798889306E-2</v>
      </c>
      <c r="AI61" s="85">
        <f t="shared" si="14"/>
        <v>7.6375073419352582E-2</v>
      </c>
      <c r="AK61" s="12"/>
    </row>
    <row r="62" spans="1:37" ht="15" customHeight="1" x14ac:dyDescent="0.2">
      <c r="A62" s="65" t="s">
        <v>62</v>
      </c>
      <c r="B62" s="32">
        <v>517.91999999999996</v>
      </c>
      <c r="C62" s="32">
        <v>505.3599999999999</v>
      </c>
      <c r="D62" s="33">
        <f t="shared" si="0"/>
        <v>-2.4250849552054487E-2</v>
      </c>
      <c r="E62" s="15"/>
      <c r="F62" s="13"/>
      <c r="G62" s="42"/>
      <c r="H62" s="13">
        <v>13.28</v>
      </c>
      <c r="I62" s="13">
        <v>13.718999999999999</v>
      </c>
      <c r="J62" s="14">
        <f t="shared" si="1"/>
        <v>3.3057228915662658E-2</v>
      </c>
      <c r="K62" s="16">
        <v>27.7</v>
      </c>
      <c r="L62" s="13">
        <v>26.673999999999999</v>
      </c>
      <c r="M62" s="45">
        <f t="shared" si="2"/>
        <v>-3.7039711191335735E-2</v>
      </c>
      <c r="N62" s="13">
        <v>18.78</v>
      </c>
      <c r="O62" s="13">
        <v>24.759999999999998</v>
      </c>
      <c r="P62" s="14">
        <f t="shared" si="3"/>
        <v>0.31842385516506905</v>
      </c>
      <c r="Q62" s="17"/>
      <c r="R62" s="13"/>
      <c r="S62" s="48"/>
      <c r="T62" s="13">
        <v>12.26</v>
      </c>
      <c r="U62" s="13">
        <v>10.4</v>
      </c>
      <c r="V62" s="14">
        <f t="shared" si="5"/>
        <v>-0.15171288743882541</v>
      </c>
      <c r="W62" s="18">
        <v>0.86</v>
      </c>
      <c r="X62" s="13">
        <v>1.08</v>
      </c>
      <c r="Y62" s="51">
        <f t="shared" si="6"/>
        <v>0.25581395348837221</v>
      </c>
      <c r="Z62" s="13"/>
      <c r="AA62" s="13">
        <v>1.06</v>
      </c>
      <c r="AB62" s="14"/>
      <c r="AC62" s="38">
        <f t="shared" si="8"/>
        <v>72.88</v>
      </c>
      <c r="AD62" s="37">
        <f t="shared" si="9"/>
        <v>77.692999999999984</v>
      </c>
      <c r="AE62" s="19">
        <f t="shared" si="10"/>
        <v>590.79999999999995</v>
      </c>
      <c r="AF62" s="20">
        <f t="shared" si="11"/>
        <v>583.05299999999988</v>
      </c>
      <c r="AG62" s="80">
        <f t="shared" si="12"/>
        <v>-1.3112728503723886E-2</v>
      </c>
      <c r="AH62" s="84">
        <f t="shared" si="13"/>
        <v>0.12335815842924848</v>
      </c>
      <c r="AI62" s="85">
        <f t="shared" si="14"/>
        <v>0.13325203712183969</v>
      </c>
      <c r="AK62" s="12"/>
    </row>
    <row r="63" spans="1:37" ht="15" customHeight="1" x14ac:dyDescent="0.2">
      <c r="A63" s="65" t="s">
        <v>63</v>
      </c>
      <c r="B63" s="32">
        <v>4824.83</v>
      </c>
      <c r="C63" s="32">
        <v>4830.6100000000051</v>
      </c>
      <c r="D63" s="33">
        <f t="shared" si="0"/>
        <v>1.1979696693987566E-3</v>
      </c>
      <c r="E63" s="15"/>
      <c r="F63" s="13"/>
      <c r="G63" s="42"/>
      <c r="H63" s="13">
        <v>213.36</v>
      </c>
      <c r="I63" s="13">
        <v>199.79000000000002</v>
      </c>
      <c r="J63" s="14">
        <f t="shared" si="1"/>
        <v>-6.3601424821897221E-2</v>
      </c>
      <c r="K63" s="16">
        <v>242.58500000000001</v>
      </c>
      <c r="L63" s="13">
        <v>256.49999999999994</v>
      </c>
      <c r="M63" s="45">
        <f t="shared" si="2"/>
        <v>5.7361337263227057E-2</v>
      </c>
      <c r="N63" s="13">
        <v>229.55</v>
      </c>
      <c r="O63" s="13">
        <v>232.48</v>
      </c>
      <c r="P63" s="14">
        <f t="shared" si="3"/>
        <v>1.276410368111513E-2</v>
      </c>
      <c r="Q63" s="17">
        <v>26.519000000000002</v>
      </c>
      <c r="R63" s="13">
        <v>17.321999999999999</v>
      </c>
      <c r="S63" s="48">
        <f t="shared" si="4"/>
        <v>-0.34680794901768552</v>
      </c>
      <c r="T63" s="13">
        <v>310.81799999999998</v>
      </c>
      <c r="U63" s="13">
        <v>296.90600000000001</v>
      </c>
      <c r="V63" s="14">
        <f t="shared" si="5"/>
        <v>-4.475931252372764E-2</v>
      </c>
      <c r="W63" s="18">
        <v>209.84</v>
      </c>
      <c r="X63" s="13">
        <v>208.68099999999998</v>
      </c>
      <c r="Y63" s="51">
        <f t="shared" si="6"/>
        <v>-5.5232558139535846E-3</v>
      </c>
      <c r="Z63" s="13">
        <v>493.01799999999997</v>
      </c>
      <c r="AA63" s="13">
        <v>390.54199999999997</v>
      </c>
      <c r="AB63" s="14">
        <f t="shared" si="7"/>
        <v>-0.20785447995813541</v>
      </c>
      <c r="AC63" s="38">
        <f t="shared" si="8"/>
        <v>1725.6900000000005</v>
      </c>
      <c r="AD63" s="37">
        <f t="shared" si="9"/>
        <v>1602.2209999999995</v>
      </c>
      <c r="AE63" s="19">
        <f t="shared" si="10"/>
        <v>6550.52</v>
      </c>
      <c r="AF63" s="20">
        <f t="shared" si="11"/>
        <v>6432.8310000000047</v>
      </c>
      <c r="AG63" s="80">
        <f t="shared" si="12"/>
        <v>-1.7966359922570382E-2</v>
      </c>
      <c r="AH63" s="84">
        <f t="shared" si="13"/>
        <v>0.26344320756214779</v>
      </c>
      <c r="AI63" s="85">
        <f t="shared" si="14"/>
        <v>0.2490693444301581</v>
      </c>
      <c r="AK63" s="12"/>
    </row>
    <row r="64" spans="1:37" ht="15" customHeight="1" x14ac:dyDescent="0.2">
      <c r="A64" s="65" t="s">
        <v>64</v>
      </c>
      <c r="B64" s="32">
        <v>2027.96</v>
      </c>
      <c r="C64" s="32">
        <v>1946.16</v>
      </c>
      <c r="D64" s="33">
        <f t="shared" si="0"/>
        <v>-4.0336101303773228E-2</v>
      </c>
      <c r="E64" s="15"/>
      <c r="F64" s="13"/>
      <c r="G64" s="42"/>
      <c r="H64" s="13">
        <v>33.155000000000001</v>
      </c>
      <c r="I64" s="13">
        <v>33.319999999999993</v>
      </c>
      <c r="J64" s="14">
        <f t="shared" si="1"/>
        <v>4.9766249434472038E-3</v>
      </c>
      <c r="K64" s="16">
        <v>57.454999999999998</v>
      </c>
      <c r="L64" s="13">
        <v>58.575000000000017</v>
      </c>
      <c r="M64" s="45">
        <f t="shared" si="2"/>
        <v>1.9493516665216582E-2</v>
      </c>
      <c r="N64" s="13">
        <v>54.09</v>
      </c>
      <c r="O64" s="13">
        <v>46.870000000000005</v>
      </c>
      <c r="P64" s="14">
        <f t="shared" si="3"/>
        <v>-0.13348123497873912</v>
      </c>
      <c r="Q64" s="17">
        <v>28.448</v>
      </c>
      <c r="R64" s="13">
        <v>11.315999999999999</v>
      </c>
      <c r="S64" s="48">
        <f t="shared" si="4"/>
        <v>-0.60222159730033753</v>
      </c>
      <c r="T64" s="13">
        <v>90.492999999999995</v>
      </c>
      <c r="U64" s="13">
        <v>66.156000000000006</v>
      </c>
      <c r="V64" s="14">
        <f t="shared" si="5"/>
        <v>-0.26893792890057783</v>
      </c>
      <c r="W64" s="18">
        <v>127.41999999999999</v>
      </c>
      <c r="X64" s="13">
        <v>74.043999999999997</v>
      </c>
      <c r="Y64" s="51">
        <f t="shared" si="6"/>
        <v>-0.41889813216135613</v>
      </c>
      <c r="Z64" s="13">
        <v>125.72799999999998</v>
      </c>
      <c r="AA64" s="13">
        <v>121.06</v>
      </c>
      <c r="AB64" s="14">
        <f t="shared" si="7"/>
        <v>-3.7127767879867483E-2</v>
      </c>
      <c r="AC64" s="38">
        <f t="shared" si="8"/>
        <v>516.78900000000021</v>
      </c>
      <c r="AD64" s="37">
        <f t="shared" si="9"/>
        <v>411.34099999999967</v>
      </c>
      <c r="AE64" s="19">
        <f t="shared" si="10"/>
        <v>2544.7490000000003</v>
      </c>
      <c r="AF64" s="20">
        <f t="shared" si="11"/>
        <v>2357.5009999999997</v>
      </c>
      <c r="AG64" s="80">
        <f t="shared" si="12"/>
        <v>-7.3582109669755438E-2</v>
      </c>
      <c r="AH64" s="84">
        <f t="shared" si="13"/>
        <v>0.20308053957384409</v>
      </c>
      <c r="AI64" s="85">
        <f t="shared" si="14"/>
        <v>0.17448179237251638</v>
      </c>
      <c r="AK64" s="12"/>
    </row>
    <row r="65" spans="1:37" ht="15" customHeight="1" x14ac:dyDescent="0.2">
      <c r="A65" s="65" t="s">
        <v>65</v>
      </c>
      <c r="B65" s="32">
        <v>158.88999999999999</v>
      </c>
      <c r="C65" s="32">
        <v>144.74300000000014</v>
      </c>
      <c r="D65" s="33">
        <f t="shared" si="0"/>
        <v>-8.9036440304612316E-2</v>
      </c>
      <c r="E65" s="15"/>
      <c r="F65" s="13"/>
      <c r="G65" s="42"/>
      <c r="H65" s="13">
        <v>1.825</v>
      </c>
      <c r="I65" s="13">
        <v>1.7240000000000002</v>
      </c>
      <c r="J65" s="14">
        <f t="shared" si="1"/>
        <v>-5.5342465753424525E-2</v>
      </c>
      <c r="K65" s="16">
        <v>1.88</v>
      </c>
      <c r="L65" s="13">
        <v>4.22</v>
      </c>
      <c r="M65" s="45">
        <f t="shared" si="2"/>
        <v>1.2446808510638299</v>
      </c>
      <c r="N65" s="13">
        <v>2.68</v>
      </c>
      <c r="O65" s="13">
        <v>3.7199999999999998</v>
      </c>
      <c r="P65" s="14">
        <f t="shared" si="3"/>
        <v>0.38805970149253716</v>
      </c>
      <c r="Q65" s="17"/>
      <c r="R65" s="13"/>
      <c r="S65" s="48"/>
      <c r="T65" s="13"/>
      <c r="U65" s="13"/>
      <c r="V65" s="14"/>
      <c r="W65" s="18"/>
      <c r="X65" s="13"/>
      <c r="Y65" s="51"/>
      <c r="Z65" s="13">
        <v>23.9649</v>
      </c>
      <c r="AA65" s="13">
        <v>30.6</v>
      </c>
      <c r="AB65" s="14">
        <f t="shared" si="7"/>
        <v>0.2768674185997021</v>
      </c>
      <c r="AC65" s="38">
        <f t="shared" si="8"/>
        <v>30.349899999999991</v>
      </c>
      <c r="AD65" s="37">
        <f t="shared" si="9"/>
        <v>40.263999999999982</v>
      </c>
      <c r="AE65" s="19">
        <f t="shared" si="10"/>
        <v>189.23989999999998</v>
      </c>
      <c r="AF65" s="20">
        <f t="shared" si="11"/>
        <v>185.00700000000012</v>
      </c>
      <c r="AG65" s="80">
        <f t="shared" si="12"/>
        <v>-2.236790444298406E-2</v>
      </c>
      <c r="AH65" s="84">
        <f t="shared" si="13"/>
        <v>0.16037791184628608</v>
      </c>
      <c r="AI65" s="85">
        <f t="shared" si="14"/>
        <v>0.21763500840508715</v>
      </c>
      <c r="AK65" s="12"/>
    </row>
    <row r="66" spans="1:37" ht="15" customHeight="1" x14ac:dyDescent="0.2">
      <c r="A66" s="65" t="s">
        <v>66</v>
      </c>
      <c r="B66" s="32">
        <v>176.58499999999998</v>
      </c>
      <c r="C66" s="32">
        <v>178.48450000000003</v>
      </c>
      <c r="D66" s="33">
        <f t="shared" si="0"/>
        <v>1.0756859302885557E-2</v>
      </c>
      <c r="E66" s="15"/>
      <c r="F66" s="13"/>
      <c r="G66" s="42"/>
      <c r="H66" s="13">
        <v>4.18</v>
      </c>
      <c r="I66" s="13">
        <v>4.427999999999999</v>
      </c>
      <c r="J66" s="14">
        <f t="shared" si="1"/>
        <v>5.9330143540669698E-2</v>
      </c>
      <c r="K66" s="16">
        <v>7.06</v>
      </c>
      <c r="L66" s="13">
        <v>6.3470000000000004</v>
      </c>
      <c r="M66" s="45">
        <f t="shared" si="2"/>
        <v>-0.10099150141643048</v>
      </c>
      <c r="N66" s="13">
        <v>10.81</v>
      </c>
      <c r="O66" s="13">
        <v>9.83</v>
      </c>
      <c r="P66" s="14">
        <f t="shared" si="3"/>
        <v>-9.0656799259944534E-2</v>
      </c>
      <c r="Q66" s="17"/>
      <c r="R66" s="13"/>
      <c r="S66" s="48"/>
      <c r="T66" s="13"/>
      <c r="U66" s="13"/>
      <c r="V66" s="14"/>
      <c r="W66" s="18"/>
      <c r="X66" s="13"/>
      <c r="Y66" s="51"/>
      <c r="Z66" s="13">
        <v>1.0620000000000001</v>
      </c>
      <c r="AA66" s="13">
        <v>0.80700000000000005</v>
      </c>
      <c r="AB66" s="14">
        <f t="shared" si="7"/>
        <v>-0.24011299435028247</v>
      </c>
      <c r="AC66" s="38">
        <f t="shared" si="8"/>
        <v>23.112000000000023</v>
      </c>
      <c r="AD66" s="37">
        <f t="shared" si="9"/>
        <v>21.412000000000006</v>
      </c>
      <c r="AE66" s="19">
        <f t="shared" si="10"/>
        <v>199.697</v>
      </c>
      <c r="AF66" s="20">
        <f t="shared" si="11"/>
        <v>199.89650000000003</v>
      </c>
      <c r="AG66" s="80">
        <f t="shared" si="12"/>
        <v>9.9901350546091768E-4</v>
      </c>
      <c r="AH66" s="84">
        <f t="shared" si="13"/>
        <v>0.11573533903864366</v>
      </c>
      <c r="AI66" s="85">
        <f t="shared" si="14"/>
        <v>0.10711543223618224</v>
      </c>
      <c r="AK66" s="12"/>
    </row>
    <row r="67" spans="1:37" ht="15" customHeight="1" x14ac:dyDescent="0.2">
      <c r="A67" s="65" t="s">
        <v>67</v>
      </c>
      <c r="B67" s="32">
        <v>223.75389999999996</v>
      </c>
      <c r="C67" s="32">
        <v>207.53610000000018</v>
      </c>
      <c r="D67" s="33">
        <f t="shared" si="0"/>
        <v>-7.2480524361809059E-2</v>
      </c>
      <c r="E67" s="15"/>
      <c r="F67" s="13"/>
      <c r="G67" s="42"/>
      <c r="H67" s="13">
        <v>2.69</v>
      </c>
      <c r="I67" s="13">
        <v>2.7790000000000004</v>
      </c>
      <c r="J67" s="14">
        <f t="shared" si="1"/>
        <v>3.308550185873621E-2</v>
      </c>
      <c r="K67" s="16">
        <v>4.59</v>
      </c>
      <c r="L67" s="13">
        <v>4.1899999999999995</v>
      </c>
      <c r="M67" s="45">
        <f t="shared" si="2"/>
        <v>-8.714596949891075E-2</v>
      </c>
      <c r="N67" s="13">
        <v>15.92</v>
      </c>
      <c r="O67" s="13">
        <v>21.37</v>
      </c>
      <c r="P67" s="14">
        <f t="shared" si="3"/>
        <v>0.34233668341708551</v>
      </c>
      <c r="Q67" s="17"/>
      <c r="R67" s="13"/>
      <c r="S67" s="48"/>
      <c r="T67" s="13"/>
      <c r="U67" s="13"/>
      <c r="V67" s="14"/>
      <c r="W67" s="18"/>
      <c r="X67" s="13"/>
      <c r="Y67" s="51"/>
      <c r="Z67" s="13">
        <v>24.047900000000002</v>
      </c>
      <c r="AA67" s="13">
        <v>31.003</v>
      </c>
      <c r="AB67" s="14">
        <f t="shared" si="7"/>
        <v>0.28921860120842141</v>
      </c>
      <c r="AC67" s="38">
        <f t="shared" si="8"/>
        <v>47.247899999999987</v>
      </c>
      <c r="AD67" s="37">
        <f t="shared" si="9"/>
        <v>59.342000000000013</v>
      </c>
      <c r="AE67" s="19">
        <f t="shared" si="10"/>
        <v>271.00179999999995</v>
      </c>
      <c r="AF67" s="20">
        <f t="shared" si="11"/>
        <v>266.87810000000019</v>
      </c>
      <c r="AG67" s="80">
        <f t="shared" si="12"/>
        <v>-1.5216504097019867E-2</v>
      </c>
      <c r="AH67" s="84">
        <f t="shared" si="13"/>
        <v>0.1743453364516398</v>
      </c>
      <c r="AI67" s="85">
        <f t="shared" si="14"/>
        <v>0.22235619932845735</v>
      </c>
      <c r="AK67" s="12"/>
    </row>
    <row r="68" spans="1:37" ht="15" customHeight="1" x14ac:dyDescent="0.2">
      <c r="A68" s="65" t="s">
        <v>68</v>
      </c>
      <c r="B68" s="32">
        <v>146.41999999999999</v>
      </c>
      <c r="C68" s="32">
        <v>150.18400000000003</v>
      </c>
      <c r="D68" s="33">
        <f t="shared" si="0"/>
        <v>2.5706870646086864E-2</v>
      </c>
      <c r="E68" s="15"/>
      <c r="F68" s="13"/>
      <c r="G68" s="42"/>
      <c r="H68" s="13">
        <v>3.33</v>
      </c>
      <c r="I68" s="13">
        <v>4.0009999999999994</v>
      </c>
      <c r="J68" s="14">
        <f t="shared" si="1"/>
        <v>0.20150150150150131</v>
      </c>
      <c r="K68" s="16">
        <v>4.0599999999999996</v>
      </c>
      <c r="L68" s="13">
        <v>4.6430000000000007</v>
      </c>
      <c r="M68" s="45">
        <f t="shared" si="2"/>
        <v>0.14359605911330078</v>
      </c>
      <c r="N68" s="13">
        <v>11.76</v>
      </c>
      <c r="O68" s="13">
        <v>10.85</v>
      </c>
      <c r="P68" s="14">
        <f t="shared" si="3"/>
        <v>-7.7380952380952397E-2</v>
      </c>
      <c r="Q68" s="17"/>
      <c r="R68" s="13"/>
      <c r="S68" s="48"/>
      <c r="T68" s="13"/>
      <c r="U68" s="13"/>
      <c r="V68" s="14"/>
      <c r="W68" s="18"/>
      <c r="X68" s="13"/>
      <c r="Y68" s="51"/>
      <c r="Z68" s="13">
        <v>2.137</v>
      </c>
      <c r="AA68" s="13">
        <v>1.478</v>
      </c>
      <c r="AB68" s="14">
        <f t="shared" si="7"/>
        <v>-0.30837622835751055</v>
      </c>
      <c r="AC68" s="38">
        <f t="shared" si="8"/>
        <v>21.287000000000006</v>
      </c>
      <c r="AD68" s="37">
        <f t="shared" si="9"/>
        <v>20.972000000000008</v>
      </c>
      <c r="AE68" s="19">
        <f t="shared" si="10"/>
        <v>167.70699999999999</v>
      </c>
      <c r="AF68" s="20">
        <f t="shared" si="11"/>
        <v>171.15600000000003</v>
      </c>
      <c r="AG68" s="80">
        <f t="shared" si="12"/>
        <v>2.0565629341649669E-2</v>
      </c>
      <c r="AH68" s="84">
        <f t="shared" si="13"/>
        <v>0.12692970478274615</v>
      </c>
      <c r="AI68" s="85">
        <f t="shared" si="14"/>
        <v>0.12253149173853095</v>
      </c>
      <c r="AK68" s="12"/>
    </row>
    <row r="69" spans="1:37" ht="15" customHeight="1" x14ac:dyDescent="0.2">
      <c r="A69" s="65" t="s">
        <v>69</v>
      </c>
      <c r="B69" s="32">
        <v>794.88409999999999</v>
      </c>
      <c r="C69" s="32">
        <v>836.81140000000005</v>
      </c>
      <c r="D69" s="33">
        <f t="shared" si="0"/>
        <v>5.2746431838302035E-2</v>
      </c>
      <c r="E69" s="15"/>
      <c r="F69" s="13"/>
      <c r="G69" s="42"/>
      <c r="H69" s="13">
        <v>16.355</v>
      </c>
      <c r="I69" s="13">
        <v>22.786000000000001</v>
      </c>
      <c r="J69" s="14">
        <f t="shared" si="1"/>
        <v>0.39321308468358307</v>
      </c>
      <c r="K69" s="16">
        <v>22.315000000000001</v>
      </c>
      <c r="L69" s="13">
        <v>25.228000000000002</v>
      </c>
      <c r="M69" s="45">
        <f t="shared" si="2"/>
        <v>0.1305399955187094</v>
      </c>
      <c r="N69" s="13">
        <v>17.66</v>
      </c>
      <c r="O69" s="13">
        <v>22.919999999999998</v>
      </c>
      <c r="P69" s="14">
        <f t="shared" si="3"/>
        <v>0.29784824462061144</v>
      </c>
      <c r="Q69" s="17">
        <v>23.58</v>
      </c>
      <c r="R69" s="13">
        <v>10.504</v>
      </c>
      <c r="S69" s="48">
        <f t="shared" si="4"/>
        <v>-0.55453774385072097</v>
      </c>
      <c r="T69" s="13">
        <v>5.0259999999999998</v>
      </c>
      <c r="U69" s="13">
        <v>5.274</v>
      </c>
      <c r="V69" s="14">
        <f t="shared" si="5"/>
        <v>4.9343414245921258E-2</v>
      </c>
      <c r="W69" s="18">
        <v>25.286000000000001</v>
      </c>
      <c r="X69" s="13">
        <v>13.788</v>
      </c>
      <c r="Y69" s="51">
        <f t="shared" si="6"/>
        <v>-0.45471802578501941</v>
      </c>
      <c r="Z69" s="13">
        <v>22.864999999999998</v>
      </c>
      <c r="AA69" s="13">
        <v>19.533000000000001</v>
      </c>
      <c r="AB69" s="14">
        <f t="shared" si="7"/>
        <v>-0.14572490706319691</v>
      </c>
      <c r="AC69" s="38">
        <f t="shared" si="8"/>
        <v>133.08699999999999</v>
      </c>
      <c r="AD69" s="37">
        <f t="shared" si="9"/>
        <v>120.03300000000002</v>
      </c>
      <c r="AE69" s="19">
        <f t="shared" si="10"/>
        <v>927.97109999999998</v>
      </c>
      <c r="AF69" s="20">
        <f t="shared" si="11"/>
        <v>956.84440000000006</v>
      </c>
      <c r="AG69" s="80">
        <f t="shared" si="12"/>
        <v>3.1114438800949822E-2</v>
      </c>
      <c r="AH69" s="84">
        <f t="shared" si="13"/>
        <v>0.14341718184973648</v>
      </c>
      <c r="AI69" s="85">
        <f t="shared" si="14"/>
        <v>0.12544672885162939</v>
      </c>
      <c r="AK69" s="12"/>
    </row>
    <row r="70" spans="1:37" ht="15" customHeight="1" x14ac:dyDescent="0.2">
      <c r="A70" s="65" t="s">
        <v>70</v>
      </c>
      <c r="B70" s="32">
        <v>21801.62</v>
      </c>
      <c r="C70" s="32">
        <v>21885.120000000057</v>
      </c>
      <c r="D70" s="33">
        <f t="shared" si="0"/>
        <v>3.8299906153789584E-3</v>
      </c>
      <c r="E70" s="15"/>
      <c r="F70" s="13">
        <v>250.55999999999992</v>
      </c>
      <c r="G70" s="42"/>
      <c r="H70" s="13">
        <v>741.14</v>
      </c>
      <c r="I70" s="13">
        <v>700.17000000000007</v>
      </c>
      <c r="J70" s="14">
        <f t="shared" si="1"/>
        <v>-5.5279704239414841E-2</v>
      </c>
      <c r="K70" s="16">
        <v>1287.55</v>
      </c>
      <c r="L70" s="13">
        <v>1154.961</v>
      </c>
      <c r="M70" s="45">
        <f t="shared" si="2"/>
        <v>-0.10297774843695387</v>
      </c>
      <c r="N70" s="13">
        <v>698.06</v>
      </c>
      <c r="O70" s="13">
        <v>722.09</v>
      </c>
      <c r="P70" s="14">
        <f t="shared" si="3"/>
        <v>3.4423975016474352E-2</v>
      </c>
      <c r="Q70" s="17">
        <v>988.5</v>
      </c>
      <c r="R70" s="13">
        <v>1113.98</v>
      </c>
      <c r="S70" s="48">
        <f t="shared" si="4"/>
        <v>0.12693980778958019</v>
      </c>
      <c r="T70" s="13">
        <v>343.44</v>
      </c>
      <c r="U70" s="13">
        <v>327.04000000000002</v>
      </c>
      <c r="V70" s="14">
        <f t="shared" si="5"/>
        <v>-4.77521546703936E-2</v>
      </c>
      <c r="W70" s="18">
        <v>692.56</v>
      </c>
      <c r="X70" s="13">
        <v>1041.6200000000001</v>
      </c>
      <c r="Y70" s="51">
        <f t="shared" si="6"/>
        <v>0.50401409264179309</v>
      </c>
      <c r="Z70" s="13">
        <v>569.06999999999994</v>
      </c>
      <c r="AA70" s="13">
        <v>477.19799999999998</v>
      </c>
      <c r="AB70" s="14">
        <f t="shared" si="7"/>
        <v>-0.16144235331330059</v>
      </c>
      <c r="AC70" s="38">
        <f t="shared" si="8"/>
        <v>5320.32</v>
      </c>
      <c r="AD70" s="37">
        <f t="shared" si="9"/>
        <v>5787.6189999999988</v>
      </c>
      <c r="AE70" s="19">
        <f t="shared" si="10"/>
        <v>27121.94</v>
      </c>
      <c r="AF70" s="20">
        <f t="shared" si="11"/>
        <v>27672.739000000056</v>
      </c>
      <c r="AG70" s="80">
        <f t="shared" si="12"/>
        <v>2.030824491168616E-2</v>
      </c>
      <c r="AH70" s="84">
        <f t="shared" si="13"/>
        <v>0.19616295884438945</v>
      </c>
      <c r="AI70" s="85">
        <f t="shared" si="14"/>
        <v>0.20914514461325953</v>
      </c>
      <c r="AK70" s="12"/>
    </row>
    <row r="71" spans="1:37" ht="15" customHeight="1" x14ac:dyDescent="0.2">
      <c r="A71" s="65" t="s">
        <v>71</v>
      </c>
      <c r="B71" s="32">
        <v>272.73199999999997</v>
      </c>
      <c r="C71" s="32">
        <v>349.05200000000002</v>
      </c>
      <c r="D71" s="33">
        <f t="shared" ref="D71:D83" si="16">+(C71-B71)/B71</f>
        <v>0.27983514952407512</v>
      </c>
      <c r="E71" s="15">
        <v>4.3</v>
      </c>
      <c r="F71" s="13">
        <v>2.2400000000000002</v>
      </c>
      <c r="G71" s="42">
        <f t="shared" ref="G71" si="17">+(F71-E71)/E71</f>
        <v>-0.47906976744186042</v>
      </c>
      <c r="H71" s="13">
        <v>15.23</v>
      </c>
      <c r="I71" s="13">
        <v>15.984</v>
      </c>
      <c r="J71" s="14">
        <f t="shared" ref="J71:J83" si="18">+(I71-H71)/H71</f>
        <v>4.9507550886408375E-2</v>
      </c>
      <c r="K71" s="16">
        <v>16.25</v>
      </c>
      <c r="L71" s="13">
        <v>15.375999999999999</v>
      </c>
      <c r="M71" s="45">
        <f t="shared" ref="M71:M83" si="19">+(L71-K71)/K71</f>
        <v>-5.3784615384615417E-2</v>
      </c>
      <c r="N71" s="13">
        <v>28.1</v>
      </c>
      <c r="O71" s="13">
        <v>31.71</v>
      </c>
      <c r="P71" s="14">
        <f t="shared" ref="P71:P83" si="20">+(O71-N71)/N71</f>
        <v>0.12846975088967968</v>
      </c>
      <c r="Q71" s="17"/>
      <c r="R71" s="13"/>
      <c r="S71" s="48"/>
      <c r="T71" s="13">
        <v>1.6</v>
      </c>
      <c r="U71" s="13">
        <v>1.36</v>
      </c>
      <c r="V71" s="14">
        <f t="shared" ref="V71:V83" si="21">+(U71-T71)/T71</f>
        <v>-0.15</v>
      </c>
      <c r="W71" s="18">
        <v>99.909000000000006</v>
      </c>
      <c r="X71" s="13">
        <v>141.69199999999998</v>
      </c>
      <c r="Y71" s="51">
        <f t="shared" ref="Y71:Y81" si="22">+(X71-W71)/W71</f>
        <v>0.41821057162017405</v>
      </c>
      <c r="Z71" s="13">
        <v>7.0780000000000003</v>
      </c>
      <c r="AA71" s="13">
        <v>5.2619999999999996</v>
      </c>
      <c r="AB71" s="14">
        <f t="shared" ref="AB71:AB82" si="23">+(AA71-Z71)/Z71</f>
        <v>-0.25656965244419339</v>
      </c>
      <c r="AC71" s="38">
        <f t="shared" ref="AC71:AC84" si="24">AE71-B71</f>
        <v>172.46700000000004</v>
      </c>
      <c r="AD71" s="37">
        <f t="shared" ref="AD71:AD84" si="25">AF71-C71</f>
        <v>213.62399999999991</v>
      </c>
      <c r="AE71" s="19">
        <f t="shared" ref="AE71:AE83" si="26">SUMIF($B$5:$AA$5,$AE$5,B71:AA71)</f>
        <v>445.19900000000001</v>
      </c>
      <c r="AF71" s="20">
        <f t="shared" ref="AF71:AF83" si="27">SUMIF($B$5:$AA$5,$AF$5,B71:AA71)</f>
        <v>562.67599999999993</v>
      </c>
      <c r="AG71" s="80">
        <f t="shared" ref="AG71:AG83" si="28">+(AF71-AE71)/AE71</f>
        <v>0.26387525578449167</v>
      </c>
      <c r="AH71" s="84">
        <f t="shared" ref="AH71:AH84" si="29">AC71/AE71</f>
        <v>0.38739305344351638</v>
      </c>
      <c r="AI71" s="85">
        <f t="shared" ref="AI71:AI84" si="30">AD71/AF71</f>
        <v>0.37965720947756781</v>
      </c>
      <c r="AK71" s="12"/>
    </row>
    <row r="72" spans="1:37" ht="15" customHeight="1" x14ac:dyDescent="0.2">
      <c r="A72" s="65" t="s">
        <v>72</v>
      </c>
      <c r="B72" s="32">
        <v>415.697</v>
      </c>
      <c r="C72" s="32">
        <v>518.68700000000001</v>
      </c>
      <c r="D72" s="33">
        <f t="shared" si="16"/>
        <v>0.24775256978039295</v>
      </c>
      <c r="E72" s="15"/>
      <c r="F72" s="13"/>
      <c r="G72" s="42"/>
      <c r="H72" s="13">
        <v>5.94</v>
      </c>
      <c r="I72" s="13">
        <v>6.5600000000000005</v>
      </c>
      <c r="J72" s="14">
        <f t="shared" si="18"/>
        <v>0.10437710437710439</v>
      </c>
      <c r="K72" s="16">
        <v>6.78</v>
      </c>
      <c r="L72" s="13">
        <v>7.1400000000000006</v>
      </c>
      <c r="M72" s="45">
        <f t="shared" si="19"/>
        <v>5.3097345132743411E-2</v>
      </c>
      <c r="N72" s="13">
        <v>15.76</v>
      </c>
      <c r="O72" s="13">
        <v>14.98</v>
      </c>
      <c r="P72" s="14">
        <f t="shared" si="20"/>
        <v>-4.9492385786801991E-2</v>
      </c>
      <c r="Q72" s="17"/>
      <c r="R72" s="13"/>
      <c r="S72" s="48"/>
      <c r="T72" s="13">
        <v>7.1879999999999997</v>
      </c>
      <c r="U72" s="13"/>
      <c r="V72" s="14">
        <f t="shared" si="21"/>
        <v>-1</v>
      </c>
      <c r="W72" s="18">
        <v>186.898</v>
      </c>
      <c r="X72" s="13">
        <v>214.41000000000003</v>
      </c>
      <c r="Y72" s="51">
        <f t="shared" si="22"/>
        <v>0.1472032873546</v>
      </c>
      <c r="Z72" s="13">
        <v>1.8380000000000001</v>
      </c>
      <c r="AA72" s="13">
        <v>1.5</v>
      </c>
      <c r="AB72" s="14">
        <f t="shared" si="23"/>
        <v>-0.18389553862894453</v>
      </c>
      <c r="AC72" s="38">
        <f t="shared" si="24"/>
        <v>224.40399999999988</v>
      </c>
      <c r="AD72" s="37">
        <f t="shared" si="25"/>
        <v>244.59000000000003</v>
      </c>
      <c r="AE72" s="19">
        <f t="shared" si="26"/>
        <v>640.10099999999989</v>
      </c>
      <c r="AF72" s="20">
        <f t="shared" si="27"/>
        <v>763.27700000000004</v>
      </c>
      <c r="AG72" s="80">
        <f t="shared" si="28"/>
        <v>0.19243213180419994</v>
      </c>
      <c r="AH72" s="84">
        <f t="shared" si="29"/>
        <v>0.35057592473687732</v>
      </c>
      <c r="AI72" s="85">
        <f t="shared" si="30"/>
        <v>0.32044722951169763</v>
      </c>
      <c r="AK72" s="12"/>
    </row>
    <row r="73" spans="1:37" ht="15" customHeight="1" x14ac:dyDescent="0.2">
      <c r="A73" s="65" t="s">
        <v>73</v>
      </c>
      <c r="B73" s="32">
        <v>3958.9969999999998</v>
      </c>
      <c r="C73" s="32">
        <v>2338.3939999999989</v>
      </c>
      <c r="D73" s="33">
        <f t="shared" si="16"/>
        <v>-0.40934686234922657</v>
      </c>
      <c r="E73" s="15"/>
      <c r="F73" s="13"/>
      <c r="G73" s="42"/>
      <c r="H73" s="13">
        <v>40.14</v>
      </c>
      <c r="I73" s="13">
        <v>49.74</v>
      </c>
      <c r="J73" s="14">
        <f t="shared" si="18"/>
        <v>0.23916292974588943</v>
      </c>
      <c r="K73" s="16">
        <v>52.405000000000001</v>
      </c>
      <c r="L73" s="13">
        <v>66.739999999999995</v>
      </c>
      <c r="M73" s="45">
        <f t="shared" si="19"/>
        <v>0.27354260089686089</v>
      </c>
      <c r="N73" s="13">
        <v>53.13</v>
      </c>
      <c r="O73" s="13">
        <v>47.64</v>
      </c>
      <c r="P73" s="14">
        <f t="shared" si="20"/>
        <v>-0.10333145115753814</v>
      </c>
      <c r="Q73" s="17">
        <v>70.491</v>
      </c>
      <c r="R73" s="13">
        <v>74.569999999999993</v>
      </c>
      <c r="S73" s="48">
        <f t="shared" ref="S73:S81" si="31">+(R73-Q73)/Q73</f>
        <v>5.7865543118979637E-2</v>
      </c>
      <c r="T73" s="13">
        <v>57.059999999999995</v>
      </c>
      <c r="U73" s="13">
        <v>95.738999999999976</v>
      </c>
      <c r="V73" s="14">
        <f t="shared" si="21"/>
        <v>0.67786540483701341</v>
      </c>
      <c r="W73" s="18">
        <v>100.95</v>
      </c>
      <c r="X73" s="13">
        <v>119.315</v>
      </c>
      <c r="Y73" s="51">
        <f t="shared" si="22"/>
        <v>0.18192174343734516</v>
      </c>
      <c r="Z73" s="13">
        <v>94.18980000000002</v>
      </c>
      <c r="AA73" s="13">
        <v>88.258699999999976</v>
      </c>
      <c r="AB73" s="14">
        <f t="shared" si="23"/>
        <v>-6.296966338181037E-2</v>
      </c>
      <c r="AC73" s="38">
        <f t="shared" si="24"/>
        <v>468.36580000000004</v>
      </c>
      <c r="AD73" s="37">
        <f t="shared" si="25"/>
        <v>542.00269999999955</v>
      </c>
      <c r="AE73" s="19">
        <f t="shared" si="26"/>
        <v>4427.3627999999999</v>
      </c>
      <c r="AF73" s="20">
        <f t="shared" si="27"/>
        <v>2880.3966999999984</v>
      </c>
      <c r="AG73" s="80">
        <f t="shared" si="28"/>
        <v>-0.34941028550901715</v>
      </c>
      <c r="AH73" s="84">
        <f t="shared" si="29"/>
        <v>0.10578889084942396</v>
      </c>
      <c r="AI73" s="85">
        <f t="shared" si="30"/>
        <v>0.18816946290766123</v>
      </c>
      <c r="AK73" s="12"/>
    </row>
    <row r="74" spans="1:37" ht="15" customHeight="1" x14ac:dyDescent="0.2">
      <c r="A74" s="65" t="s">
        <v>74</v>
      </c>
      <c r="B74" s="32">
        <v>1844.28</v>
      </c>
      <c r="C74" s="32">
        <v>1831.7999999999993</v>
      </c>
      <c r="D74" s="33">
        <f t="shared" si="16"/>
        <v>-6.7668683713973474E-3</v>
      </c>
      <c r="E74" s="15">
        <v>8.7799999999999994</v>
      </c>
      <c r="F74" s="13">
        <v>18.400000000000009</v>
      </c>
      <c r="G74" s="42">
        <f t="shared" ref="G74" si="32">+(F74-E74)/E74</f>
        <v>1.0956719817767666</v>
      </c>
      <c r="H74" s="13">
        <v>62.13</v>
      </c>
      <c r="I74" s="13">
        <v>70.828000000000017</v>
      </c>
      <c r="J74" s="14">
        <f t="shared" si="18"/>
        <v>0.13999678094318388</v>
      </c>
      <c r="K74" s="16">
        <v>93.84</v>
      </c>
      <c r="L74" s="13">
        <v>110.54400000000001</v>
      </c>
      <c r="M74" s="45">
        <f t="shared" si="19"/>
        <v>0.17800511508951414</v>
      </c>
      <c r="N74" s="13">
        <v>89.95</v>
      </c>
      <c r="O74" s="13">
        <v>97.09</v>
      </c>
      <c r="P74" s="14">
        <f t="shared" si="20"/>
        <v>7.9377431906614795E-2</v>
      </c>
      <c r="Q74" s="17">
        <v>43.832000000000001</v>
      </c>
      <c r="R74" s="13">
        <v>39.348999999999997</v>
      </c>
      <c r="S74" s="48">
        <f t="shared" si="31"/>
        <v>-0.10227687534221583</v>
      </c>
      <c r="T74" s="13">
        <v>174.035</v>
      </c>
      <c r="U74" s="13">
        <v>166.09900000000002</v>
      </c>
      <c r="V74" s="14">
        <f t="shared" si="21"/>
        <v>-4.5600022983882431E-2</v>
      </c>
      <c r="W74" s="18">
        <v>95.888000000000005</v>
      </c>
      <c r="X74" s="13">
        <v>93.810999999999993</v>
      </c>
      <c r="Y74" s="51">
        <f t="shared" si="22"/>
        <v>-2.1660687468713628E-2</v>
      </c>
      <c r="Z74" s="13">
        <v>135.59800000000001</v>
      </c>
      <c r="AA74" s="13">
        <v>179.20350000000002</v>
      </c>
      <c r="AB74" s="14">
        <f t="shared" si="23"/>
        <v>0.32157922683225421</v>
      </c>
      <c r="AC74" s="38">
        <f t="shared" si="24"/>
        <v>704.05299999999966</v>
      </c>
      <c r="AD74" s="37">
        <f t="shared" si="25"/>
        <v>775.32450000000063</v>
      </c>
      <c r="AE74" s="19">
        <f t="shared" si="26"/>
        <v>2548.3329999999996</v>
      </c>
      <c r="AF74" s="20">
        <f t="shared" si="27"/>
        <v>2607.1244999999999</v>
      </c>
      <c r="AG74" s="80">
        <f t="shared" si="28"/>
        <v>2.3070572017079509E-2</v>
      </c>
      <c r="AH74" s="84">
        <f t="shared" si="29"/>
        <v>0.2762798268515142</v>
      </c>
      <c r="AI74" s="85">
        <f t="shared" si="30"/>
        <v>0.29738683365523993</v>
      </c>
      <c r="AK74" s="12"/>
    </row>
    <row r="75" spans="1:37" ht="15" customHeight="1" x14ac:dyDescent="0.2">
      <c r="A75" s="65" t="s">
        <v>75</v>
      </c>
      <c r="B75" s="32">
        <v>298.38</v>
      </c>
      <c r="C75" s="32">
        <v>319.12400000000002</v>
      </c>
      <c r="D75" s="33">
        <f t="shared" si="16"/>
        <v>6.9522085930692507E-2</v>
      </c>
      <c r="E75" s="15"/>
      <c r="F75" s="13"/>
      <c r="G75" s="42"/>
      <c r="H75" s="13">
        <v>5.28</v>
      </c>
      <c r="I75" s="13">
        <v>5.4889999999999999</v>
      </c>
      <c r="J75" s="14">
        <f t="shared" si="18"/>
        <v>3.9583333333333262E-2</v>
      </c>
      <c r="K75" s="16">
        <v>9.68</v>
      </c>
      <c r="L75" s="13">
        <v>9.9719999999999995</v>
      </c>
      <c r="M75" s="45">
        <f t="shared" si="19"/>
        <v>3.0165289256198328E-2</v>
      </c>
      <c r="N75" s="13">
        <v>10.49</v>
      </c>
      <c r="O75" s="13">
        <v>15.58</v>
      </c>
      <c r="P75" s="14">
        <f t="shared" si="20"/>
        <v>0.48522402287893229</v>
      </c>
      <c r="Q75" s="17"/>
      <c r="R75" s="13"/>
      <c r="S75" s="48"/>
      <c r="T75" s="13">
        <v>19.143999999999998</v>
      </c>
      <c r="U75" s="13">
        <v>9.0760000000000005</v>
      </c>
      <c r="V75" s="14">
        <f t="shared" si="21"/>
        <v>-0.52590890096113663</v>
      </c>
      <c r="W75" s="18"/>
      <c r="X75" s="13"/>
      <c r="Y75" s="51"/>
      <c r="Z75" s="13">
        <v>1.58</v>
      </c>
      <c r="AA75" s="13">
        <v>1.3049999999999999</v>
      </c>
      <c r="AB75" s="14">
        <f t="shared" si="23"/>
        <v>-0.17405063291139247</v>
      </c>
      <c r="AC75" s="38">
        <f t="shared" si="24"/>
        <v>46.173999999999978</v>
      </c>
      <c r="AD75" s="37">
        <f t="shared" si="25"/>
        <v>41.421999999999969</v>
      </c>
      <c r="AE75" s="19">
        <f t="shared" si="26"/>
        <v>344.55399999999997</v>
      </c>
      <c r="AF75" s="20">
        <f t="shared" si="27"/>
        <v>360.54599999999999</v>
      </c>
      <c r="AG75" s="80">
        <f t="shared" si="28"/>
        <v>4.6413624569733684E-2</v>
      </c>
      <c r="AH75" s="84">
        <f t="shared" si="29"/>
        <v>0.13401092426731365</v>
      </c>
      <c r="AI75" s="85">
        <f t="shared" si="30"/>
        <v>0.11488686603096407</v>
      </c>
      <c r="AK75" s="12"/>
    </row>
    <row r="76" spans="1:37" ht="15" customHeight="1" x14ac:dyDescent="0.2">
      <c r="A76" s="65" t="s">
        <v>76</v>
      </c>
      <c r="B76" s="32">
        <v>620.45799999999997</v>
      </c>
      <c r="C76" s="32">
        <v>635.61799999999994</v>
      </c>
      <c r="D76" s="33">
        <f t="shared" si="16"/>
        <v>2.443356359334551E-2</v>
      </c>
      <c r="E76" s="15"/>
      <c r="F76" s="13"/>
      <c r="G76" s="42"/>
      <c r="H76" s="13">
        <v>11.205</v>
      </c>
      <c r="I76" s="13">
        <v>9.1440000000000001</v>
      </c>
      <c r="J76" s="14">
        <f t="shared" si="18"/>
        <v>-0.18393574297188756</v>
      </c>
      <c r="K76" s="16">
        <v>17.545000000000002</v>
      </c>
      <c r="L76" s="13">
        <v>13.868000000000002</v>
      </c>
      <c r="M76" s="45">
        <f t="shared" si="19"/>
        <v>-0.20957537760045591</v>
      </c>
      <c r="N76" s="13">
        <v>26.32</v>
      </c>
      <c r="O76" s="13">
        <v>22.36</v>
      </c>
      <c r="P76" s="14">
        <f t="shared" si="20"/>
        <v>-0.15045592705167177</v>
      </c>
      <c r="Q76" s="17"/>
      <c r="R76" s="13"/>
      <c r="S76" s="48"/>
      <c r="T76" s="13">
        <v>13.347</v>
      </c>
      <c r="U76" s="13">
        <v>7.6710000000000003</v>
      </c>
      <c r="V76" s="14">
        <f t="shared" si="21"/>
        <v>-0.42526410429309952</v>
      </c>
      <c r="W76" s="18"/>
      <c r="X76" s="13"/>
      <c r="Y76" s="51"/>
      <c r="Z76" s="13">
        <v>3.6869999999999998</v>
      </c>
      <c r="AA76" s="13">
        <v>2.4630000000000001</v>
      </c>
      <c r="AB76" s="14">
        <f t="shared" si="23"/>
        <v>-0.33197721724979651</v>
      </c>
      <c r="AC76" s="38">
        <f t="shared" si="24"/>
        <v>72.104000000000042</v>
      </c>
      <c r="AD76" s="37">
        <f t="shared" si="25"/>
        <v>55.506000000000085</v>
      </c>
      <c r="AE76" s="19">
        <f t="shared" si="26"/>
        <v>692.56200000000001</v>
      </c>
      <c r="AF76" s="20">
        <f t="shared" si="27"/>
        <v>691.12400000000002</v>
      </c>
      <c r="AG76" s="80">
        <f t="shared" si="28"/>
        <v>-2.0763483991324792E-3</v>
      </c>
      <c r="AH76" s="84">
        <f t="shared" si="29"/>
        <v>0.10411197842214855</v>
      </c>
      <c r="AI76" s="85">
        <f t="shared" si="30"/>
        <v>8.0312650117779272E-2</v>
      </c>
      <c r="AK76" s="12"/>
    </row>
    <row r="77" spans="1:37" ht="15" customHeight="1" x14ac:dyDescent="0.2">
      <c r="A77" s="65" t="s">
        <v>77</v>
      </c>
      <c r="B77" s="32">
        <v>4495.96</v>
      </c>
      <c r="C77" s="32">
        <v>4359.4420000000036</v>
      </c>
      <c r="D77" s="33">
        <f t="shared" si="16"/>
        <v>-3.036459399104894E-2</v>
      </c>
      <c r="E77" s="15"/>
      <c r="F77" s="13"/>
      <c r="G77" s="42"/>
      <c r="H77" s="13">
        <v>51.69</v>
      </c>
      <c r="I77" s="13">
        <v>51.580999999999996</v>
      </c>
      <c r="J77" s="14">
        <f t="shared" si="18"/>
        <v>-2.1087250918940177E-3</v>
      </c>
      <c r="K77" s="16">
        <v>102.52500000000001</v>
      </c>
      <c r="L77" s="13">
        <v>93.336000000000013</v>
      </c>
      <c r="M77" s="45">
        <f t="shared" si="19"/>
        <v>-8.9626920263350326E-2</v>
      </c>
      <c r="N77" s="13">
        <v>70.709999999999994</v>
      </c>
      <c r="O77" s="13">
        <v>55.67</v>
      </c>
      <c r="P77" s="14">
        <f t="shared" si="20"/>
        <v>-0.21269975958138868</v>
      </c>
      <c r="Q77" s="17">
        <v>3.048</v>
      </c>
      <c r="R77" s="13">
        <v>15.338000000000003</v>
      </c>
      <c r="S77" s="48">
        <f t="shared" si="31"/>
        <v>4.0321522309711293</v>
      </c>
      <c r="T77" s="13">
        <v>61.567</v>
      </c>
      <c r="U77" s="13">
        <v>48.259</v>
      </c>
      <c r="V77" s="14">
        <f t="shared" si="21"/>
        <v>-0.21615475823087044</v>
      </c>
      <c r="W77" s="18">
        <v>36.116</v>
      </c>
      <c r="X77" s="13">
        <v>21.416</v>
      </c>
      <c r="Y77" s="51">
        <f t="shared" si="22"/>
        <v>-0.40702181858456082</v>
      </c>
      <c r="Z77" s="13">
        <v>105.512</v>
      </c>
      <c r="AA77" s="13">
        <v>84.668999999999997</v>
      </c>
      <c r="AB77" s="14">
        <f t="shared" si="23"/>
        <v>-0.19754151186594893</v>
      </c>
      <c r="AC77" s="38">
        <f t="shared" si="24"/>
        <v>431.16799999999876</v>
      </c>
      <c r="AD77" s="37">
        <f t="shared" si="25"/>
        <v>370.26900000000023</v>
      </c>
      <c r="AE77" s="19">
        <f t="shared" si="26"/>
        <v>4927.1279999999988</v>
      </c>
      <c r="AF77" s="20">
        <f t="shared" si="27"/>
        <v>4729.7110000000039</v>
      </c>
      <c r="AG77" s="80">
        <f t="shared" si="28"/>
        <v>-4.0067357698033206E-2</v>
      </c>
      <c r="AH77" s="84">
        <f t="shared" si="29"/>
        <v>8.7508991038998549E-2</v>
      </c>
      <c r="AI77" s="85">
        <f t="shared" si="30"/>
        <v>7.828575572587837E-2</v>
      </c>
      <c r="AK77" s="12"/>
    </row>
    <row r="78" spans="1:37" ht="15" customHeight="1" x14ac:dyDescent="0.2">
      <c r="A78" s="65" t="s">
        <v>78</v>
      </c>
      <c r="B78" s="32">
        <v>5735.0870000000004</v>
      </c>
      <c r="C78" s="32">
        <v>5676.0750000000035</v>
      </c>
      <c r="D78" s="33">
        <f t="shared" si="16"/>
        <v>-1.0289643382915896E-2</v>
      </c>
      <c r="E78" s="15"/>
      <c r="F78" s="13"/>
      <c r="G78" s="42"/>
      <c r="H78" s="13">
        <v>140.47999999999999</v>
      </c>
      <c r="I78" s="13">
        <v>131.32999999999998</v>
      </c>
      <c r="J78" s="14">
        <f t="shared" si="18"/>
        <v>-6.513382687927112E-2</v>
      </c>
      <c r="K78" s="16">
        <v>231.83500000000001</v>
      </c>
      <c r="L78" s="13">
        <v>230.154</v>
      </c>
      <c r="M78" s="45">
        <f t="shared" si="19"/>
        <v>-7.2508465072142324E-3</v>
      </c>
      <c r="N78" s="13">
        <v>188.19</v>
      </c>
      <c r="O78" s="13">
        <v>193.63</v>
      </c>
      <c r="P78" s="14">
        <f t="shared" si="20"/>
        <v>2.8906955736224017E-2</v>
      </c>
      <c r="Q78" s="17"/>
      <c r="R78" s="13">
        <v>3.88</v>
      </c>
      <c r="S78" s="48"/>
      <c r="T78" s="13">
        <v>119.67</v>
      </c>
      <c r="U78" s="13">
        <v>46.558999999999997</v>
      </c>
      <c r="V78" s="14">
        <f t="shared" si="21"/>
        <v>-0.61093841397175563</v>
      </c>
      <c r="W78" s="18">
        <v>4.04</v>
      </c>
      <c r="X78" s="13">
        <v>28.38</v>
      </c>
      <c r="Y78" s="51">
        <f t="shared" si="22"/>
        <v>6.0247524752475243</v>
      </c>
      <c r="Z78" s="13">
        <v>28.521999999999998</v>
      </c>
      <c r="AA78" s="13">
        <v>32.752000000000002</v>
      </c>
      <c r="AB78" s="14">
        <f t="shared" si="23"/>
        <v>0.14830657036673459</v>
      </c>
      <c r="AC78" s="38">
        <f t="shared" si="24"/>
        <v>712.73699999999917</v>
      </c>
      <c r="AD78" s="37">
        <f t="shared" si="25"/>
        <v>666.6850000000004</v>
      </c>
      <c r="AE78" s="19">
        <f t="shared" si="26"/>
        <v>6447.8239999999996</v>
      </c>
      <c r="AF78" s="20">
        <f t="shared" si="27"/>
        <v>6342.7600000000039</v>
      </c>
      <c r="AG78" s="80">
        <f t="shared" si="28"/>
        <v>-1.6294489427750473E-2</v>
      </c>
      <c r="AH78" s="84">
        <f t="shared" si="29"/>
        <v>0.11053915243344099</v>
      </c>
      <c r="AI78" s="85">
        <f t="shared" si="30"/>
        <v>0.10510960528224306</v>
      </c>
      <c r="AK78" s="12"/>
    </row>
    <row r="79" spans="1:37" ht="15" customHeight="1" x14ac:dyDescent="0.2">
      <c r="A79" s="65" t="s">
        <v>79</v>
      </c>
      <c r="B79" s="32">
        <v>1655.6522</v>
      </c>
      <c r="C79" s="32">
        <v>1672.1645999999998</v>
      </c>
      <c r="D79" s="33">
        <f t="shared" si="16"/>
        <v>9.9733506831929091E-3</v>
      </c>
      <c r="E79" s="15"/>
      <c r="F79" s="13"/>
      <c r="G79" s="42"/>
      <c r="H79" s="13">
        <v>45.325000000000003</v>
      </c>
      <c r="I79" s="13">
        <v>47.048999999999999</v>
      </c>
      <c r="J79" s="14">
        <f t="shared" si="18"/>
        <v>3.8036403750689389E-2</v>
      </c>
      <c r="K79" s="16">
        <v>78.33</v>
      </c>
      <c r="L79" s="13">
        <v>77.657000000000011</v>
      </c>
      <c r="M79" s="45">
        <f t="shared" si="19"/>
        <v>-8.5918549725518649E-3</v>
      </c>
      <c r="N79" s="13">
        <v>82.72</v>
      </c>
      <c r="O79" s="13">
        <v>96.39</v>
      </c>
      <c r="P79" s="14">
        <f t="shared" si="20"/>
        <v>0.1652562862669246</v>
      </c>
      <c r="Q79" s="17">
        <v>18.103000000000002</v>
      </c>
      <c r="R79" s="13">
        <v>16.75</v>
      </c>
      <c r="S79" s="48">
        <f t="shared" si="31"/>
        <v>-7.4738993536982892E-2</v>
      </c>
      <c r="T79" s="13">
        <v>69.745000000000005</v>
      </c>
      <c r="U79" s="13">
        <v>62.058</v>
      </c>
      <c r="V79" s="14">
        <f t="shared" si="21"/>
        <v>-0.11021578607785511</v>
      </c>
      <c r="W79" s="18">
        <v>43.131999999999998</v>
      </c>
      <c r="X79" s="13">
        <v>41.446999999999996</v>
      </c>
      <c r="Y79" s="51">
        <f t="shared" si="22"/>
        <v>-3.9066122600389559E-2</v>
      </c>
      <c r="Z79" s="13">
        <v>74.231200000000001</v>
      </c>
      <c r="AA79" s="13">
        <v>81.0501</v>
      </c>
      <c r="AB79" s="14">
        <f t="shared" si="23"/>
        <v>9.1860295940251524E-2</v>
      </c>
      <c r="AC79" s="38">
        <f t="shared" si="24"/>
        <v>411.58620000000019</v>
      </c>
      <c r="AD79" s="37">
        <f t="shared" si="25"/>
        <v>422.40109999999981</v>
      </c>
      <c r="AE79" s="19">
        <f t="shared" si="26"/>
        <v>2067.2384000000002</v>
      </c>
      <c r="AF79" s="20">
        <f t="shared" si="27"/>
        <v>2094.5656999999997</v>
      </c>
      <c r="AG79" s="80">
        <f t="shared" si="28"/>
        <v>1.3219230060741648E-2</v>
      </c>
      <c r="AH79" s="84">
        <f t="shared" si="29"/>
        <v>0.19909953298081157</v>
      </c>
      <c r="AI79" s="85">
        <f t="shared" si="30"/>
        <v>0.20166524258465604</v>
      </c>
      <c r="AK79" s="12"/>
    </row>
    <row r="80" spans="1:37" ht="15" customHeight="1" x14ac:dyDescent="0.2">
      <c r="A80" s="65" t="s">
        <v>80</v>
      </c>
      <c r="B80" s="32">
        <v>158.98679999999999</v>
      </c>
      <c r="C80" s="32">
        <v>143.91149999999996</v>
      </c>
      <c r="D80" s="33">
        <f t="shared" si="16"/>
        <v>-9.4821079485844284E-2</v>
      </c>
      <c r="E80" s="15"/>
      <c r="F80" s="13"/>
      <c r="G80" s="42"/>
      <c r="H80" s="13">
        <v>1.73</v>
      </c>
      <c r="I80" s="13">
        <v>1.7640000000000002</v>
      </c>
      <c r="J80" s="14">
        <f t="shared" si="18"/>
        <v>1.9653179190751591E-2</v>
      </c>
      <c r="K80" s="16">
        <v>2.7050000000000001</v>
      </c>
      <c r="L80" s="13">
        <v>2.91</v>
      </c>
      <c r="M80" s="45">
        <f t="shared" si="19"/>
        <v>7.5785582255083209E-2</v>
      </c>
      <c r="N80" s="13">
        <v>2.4900000000000002</v>
      </c>
      <c r="O80" s="13">
        <v>3.42</v>
      </c>
      <c r="P80" s="14">
        <f t="shared" si="20"/>
        <v>0.37349397590361433</v>
      </c>
      <c r="Q80" s="17"/>
      <c r="R80" s="13"/>
      <c r="S80" s="48"/>
      <c r="T80" s="13"/>
      <c r="U80" s="13"/>
      <c r="V80" s="14"/>
      <c r="W80" s="18"/>
      <c r="X80" s="13"/>
      <c r="Y80" s="51"/>
      <c r="Z80" s="13">
        <v>9.9252000000000002</v>
      </c>
      <c r="AA80" s="13">
        <v>0.498</v>
      </c>
      <c r="AB80" s="14">
        <f t="shared" si="23"/>
        <v>-0.94982468867126113</v>
      </c>
      <c r="AC80" s="38">
        <f t="shared" si="24"/>
        <v>16.850200000000001</v>
      </c>
      <c r="AD80" s="37">
        <f t="shared" si="25"/>
        <v>8.5919999999999845</v>
      </c>
      <c r="AE80" s="19">
        <f t="shared" si="26"/>
        <v>175.83699999999999</v>
      </c>
      <c r="AF80" s="20">
        <f t="shared" si="27"/>
        <v>152.50349999999995</v>
      </c>
      <c r="AG80" s="80">
        <f t="shared" si="28"/>
        <v>-0.1326996024727449</v>
      </c>
      <c r="AH80" s="84">
        <f t="shared" si="29"/>
        <v>9.5828523007103178E-2</v>
      </c>
      <c r="AI80" s="85">
        <f t="shared" si="30"/>
        <v>5.6339690564478767E-2</v>
      </c>
      <c r="AK80" s="12"/>
    </row>
    <row r="81" spans="1:37" ht="15" customHeight="1" x14ac:dyDescent="0.2">
      <c r="A81" s="65" t="s">
        <v>81</v>
      </c>
      <c r="B81" s="32">
        <v>7122.4699999999993</v>
      </c>
      <c r="C81" s="32">
        <v>7290.1999999999962</v>
      </c>
      <c r="D81" s="33">
        <f t="shared" si="16"/>
        <v>2.354941473954918E-2</v>
      </c>
      <c r="E81" s="15"/>
      <c r="F81" s="13"/>
      <c r="G81" s="42"/>
      <c r="H81" s="13">
        <v>260.91000000000003</v>
      </c>
      <c r="I81" s="13">
        <v>299.72899999999998</v>
      </c>
      <c r="J81" s="14">
        <f t="shared" si="18"/>
        <v>0.14878310528534727</v>
      </c>
      <c r="K81" s="16">
        <v>267.60000000000002</v>
      </c>
      <c r="L81" s="13">
        <v>276.35399999999998</v>
      </c>
      <c r="M81" s="45">
        <f t="shared" si="19"/>
        <v>3.2713004484304788E-2</v>
      </c>
      <c r="N81" s="13">
        <v>344.69</v>
      </c>
      <c r="O81" s="13">
        <v>377.30999999999995</v>
      </c>
      <c r="P81" s="14">
        <f t="shared" si="20"/>
        <v>9.463575966810743E-2</v>
      </c>
      <c r="Q81" s="17">
        <v>63.167000000000002</v>
      </c>
      <c r="R81" s="13">
        <v>64.070000000000007</v>
      </c>
      <c r="S81" s="48">
        <f t="shared" si="31"/>
        <v>1.4295439074200228E-2</v>
      </c>
      <c r="T81" s="13">
        <v>74.372</v>
      </c>
      <c r="U81" s="13">
        <v>73.98899999999999</v>
      </c>
      <c r="V81" s="14">
        <f t="shared" si="21"/>
        <v>-5.1497875544561098E-3</v>
      </c>
      <c r="W81" s="18">
        <v>97.748999999999995</v>
      </c>
      <c r="X81" s="13">
        <v>64.302000000000007</v>
      </c>
      <c r="Y81" s="51">
        <f t="shared" si="22"/>
        <v>-0.34217229843783559</v>
      </c>
      <c r="Z81" s="13">
        <v>114.99710000000005</v>
      </c>
      <c r="AA81" s="13">
        <v>137.53940000000003</v>
      </c>
      <c r="AB81" s="14">
        <f t="shared" si="23"/>
        <v>0.19602494323769881</v>
      </c>
      <c r="AC81" s="38">
        <f t="shared" si="24"/>
        <v>1223.4851000000017</v>
      </c>
      <c r="AD81" s="37">
        <f t="shared" si="25"/>
        <v>1293.2933999999996</v>
      </c>
      <c r="AE81" s="19">
        <f t="shared" si="26"/>
        <v>8345.955100000001</v>
      </c>
      <c r="AF81" s="20">
        <f t="shared" si="27"/>
        <v>8583.4933999999957</v>
      </c>
      <c r="AG81" s="80">
        <f t="shared" si="28"/>
        <v>2.8461487888904971E-2</v>
      </c>
      <c r="AH81" s="84">
        <f t="shared" si="29"/>
        <v>0.14659617567317149</v>
      </c>
      <c r="AI81" s="85">
        <f t="shared" si="30"/>
        <v>0.15067214940714002</v>
      </c>
      <c r="AK81" s="12"/>
    </row>
    <row r="82" spans="1:37" ht="15" customHeight="1" x14ac:dyDescent="0.2">
      <c r="A82" s="65" t="s">
        <v>82</v>
      </c>
      <c r="B82" s="32">
        <v>435.44</v>
      </c>
      <c r="C82" s="32">
        <v>404.86799999999994</v>
      </c>
      <c r="D82" s="33">
        <f t="shared" si="16"/>
        <v>-7.0209443321697734E-2</v>
      </c>
      <c r="E82" s="15"/>
      <c r="F82" s="13"/>
      <c r="G82" s="42"/>
      <c r="H82" s="13">
        <v>5.5</v>
      </c>
      <c r="I82" s="13">
        <v>5.9430000000000005</v>
      </c>
      <c r="J82" s="14">
        <f t="shared" si="18"/>
        <v>8.0545454545454642E-2</v>
      </c>
      <c r="K82" s="16">
        <v>9.5299999999999994</v>
      </c>
      <c r="L82" s="13">
        <v>7.7250000000000005</v>
      </c>
      <c r="M82" s="45">
        <f t="shared" si="19"/>
        <v>-0.18940188877229788</v>
      </c>
      <c r="N82" s="13">
        <v>11.27</v>
      </c>
      <c r="O82" s="13">
        <v>9.98</v>
      </c>
      <c r="P82" s="14">
        <f t="shared" si="20"/>
        <v>-0.11446317657497775</v>
      </c>
      <c r="Q82" s="17"/>
      <c r="R82" s="13"/>
      <c r="S82" s="48"/>
      <c r="T82" s="13">
        <v>3.16</v>
      </c>
      <c r="U82" s="13">
        <v>4.8800000000000008</v>
      </c>
      <c r="V82" s="14">
        <f t="shared" si="21"/>
        <v>0.54430379746835456</v>
      </c>
      <c r="W82" s="18"/>
      <c r="X82" s="13"/>
      <c r="Y82" s="51"/>
      <c r="Z82" s="13">
        <v>14.785</v>
      </c>
      <c r="AA82" s="13">
        <v>25.172999999999998</v>
      </c>
      <c r="AB82" s="14">
        <f t="shared" si="23"/>
        <v>0.70260399053094336</v>
      </c>
      <c r="AC82" s="38">
        <f t="shared" si="24"/>
        <v>44.245000000000005</v>
      </c>
      <c r="AD82" s="37">
        <f t="shared" si="25"/>
        <v>53.701000000000022</v>
      </c>
      <c r="AE82" s="19">
        <f t="shared" si="26"/>
        <v>479.685</v>
      </c>
      <c r="AF82" s="20">
        <f t="shared" si="27"/>
        <v>458.56899999999996</v>
      </c>
      <c r="AG82" s="80">
        <f t="shared" si="28"/>
        <v>-4.4020555155987871E-2</v>
      </c>
      <c r="AH82" s="84">
        <f t="shared" si="29"/>
        <v>9.2237614267696513E-2</v>
      </c>
      <c r="AI82" s="85">
        <f t="shared" si="30"/>
        <v>0.11710560460912105</v>
      </c>
      <c r="AK82" s="12"/>
    </row>
    <row r="83" spans="1:37" ht="15" customHeight="1" x14ac:dyDescent="0.2">
      <c r="A83" s="66" t="s">
        <v>83</v>
      </c>
      <c r="B83" s="34">
        <v>34.92</v>
      </c>
      <c r="C83" s="34">
        <v>25.839999999999993</v>
      </c>
      <c r="D83" s="35">
        <f t="shared" si="16"/>
        <v>-0.26002290950744583</v>
      </c>
      <c r="E83" s="23"/>
      <c r="F83" s="21"/>
      <c r="G83" s="43"/>
      <c r="H83" s="21">
        <v>0.28000000000000003</v>
      </c>
      <c r="I83" s="21">
        <v>0.28000000000000003</v>
      </c>
      <c r="J83" s="22">
        <f t="shared" si="18"/>
        <v>0</v>
      </c>
      <c r="K83" s="24">
        <v>0.33</v>
      </c>
      <c r="L83" s="21">
        <v>0.21500000000000002</v>
      </c>
      <c r="M83" s="46">
        <f t="shared" si="19"/>
        <v>-0.34848484848484845</v>
      </c>
      <c r="N83" s="21">
        <v>3.95</v>
      </c>
      <c r="O83" s="21">
        <v>2.96</v>
      </c>
      <c r="P83" s="22">
        <f t="shared" si="20"/>
        <v>-0.25063291139240512</v>
      </c>
      <c r="Q83" s="25"/>
      <c r="R83" s="21"/>
      <c r="S83" s="49"/>
      <c r="T83" s="21">
        <v>3.52</v>
      </c>
      <c r="U83" s="21">
        <v>4.9200000000000008</v>
      </c>
      <c r="V83" s="22">
        <f t="shared" si="21"/>
        <v>0.39772727272727293</v>
      </c>
      <c r="W83" s="26"/>
      <c r="X83" s="21">
        <v>0.62</v>
      </c>
      <c r="Y83" s="52"/>
      <c r="Z83" s="21"/>
      <c r="AA83" s="21"/>
      <c r="AB83" s="22"/>
      <c r="AC83" s="39">
        <f t="shared" si="24"/>
        <v>8.0800000000000054</v>
      </c>
      <c r="AD83" s="37">
        <f t="shared" si="25"/>
        <v>8.995000000000001</v>
      </c>
      <c r="AE83" s="27">
        <f t="shared" si="26"/>
        <v>43.000000000000007</v>
      </c>
      <c r="AF83" s="28">
        <f t="shared" si="27"/>
        <v>34.834999999999994</v>
      </c>
      <c r="AG83" s="81">
        <f t="shared" si="28"/>
        <v>-0.18988372093023284</v>
      </c>
      <c r="AH83" s="84">
        <f t="shared" si="29"/>
        <v>0.18790697674418613</v>
      </c>
      <c r="AI83" s="85">
        <f t="shared" si="30"/>
        <v>0.25821731017654664</v>
      </c>
      <c r="AK83" s="12"/>
    </row>
    <row r="84" spans="1:37" ht="15" customHeight="1" thickBot="1" x14ac:dyDescent="0.25">
      <c r="A84" s="67" t="s">
        <v>5</v>
      </c>
      <c r="B84" s="29">
        <f>SUM(B6:B83)</f>
        <v>360545.76539999997</v>
      </c>
      <c r="C84" s="29">
        <f>SUM(C6:C83)</f>
        <v>358949.6400000006</v>
      </c>
      <c r="D84" s="68">
        <f>+(C84-B84)/B84</f>
        <v>-4.4269703132654757E-3</v>
      </c>
      <c r="E84" s="69">
        <f t="shared" ref="E84" si="33">SUM(E6:E83)</f>
        <v>7810.16</v>
      </c>
      <c r="F84" s="29">
        <f t="shared" ref="F84:AA84" si="34">SUM(F6:F83)</f>
        <v>8986.42</v>
      </c>
      <c r="G84" s="70">
        <f>+(F84-E84)/E84</f>
        <v>0.15060638962582076</v>
      </c>
      <c r="H84" s="29">
        <f t="shared" ref="H84" si="35">SUM(H6:H83)</f>
        <v>16111.362999999998</v>
      </c>
      <c r="I84" s="29">
        <f t="shared" si="34"/>
        <v>16534.354999999996</v>
      </c>
      <c r="J84" s="68">
        <f>+(I84-H84)/H84</f>
        <v>2.6254265390209284E-2</v>
      </c>
      <c r="K84" s="71">
        <f t="shared" ref="K84" si="36">SUM(K6:K83)</f>
        <v>24417.593000000004</v>
      </c>
      <c r="L84" s="29">
        <f t="shared" si="34"/>
        <v>25002.187999999995</v>
      </c>
      <c r="M84" s="72">
        <f>+(L84-K84)/K84</f>
        <v>2.3941549029832306E-2</v>
      </c>
      <c r="N84" s="29">
        <f t="shared" ref="N84" si="37">SUM(N6:N83)</f>
        <v>17237.740000000002</v>
      </c>
      <c r="O84" s="29">
        <f t="shared" si="34"/>
        <v>17728.899999999991</v>
      </c>
      <c r="P84" s="68">
        <f>+(O84-N84)/N84</f>
        <v>2.8493294364573832E-2</v>
      </c>
      <c r="Q84" s="73">
        <f t="shared" ref="Q84" si="38">SUM(Q6:Q83)</f>
        <v>9268.9130000000005</v>
      </c>
      <c r="R84" s="29">
        <f t="shared" si="34"/>
        <v>9768.2520000000059</v>
      </c>
      <c r="S84" s="74">
        <f>+(R84-Q84)/Q84</f>
        <v>5.3872444374006463E-2</v>
      </c>
      <c r="T84" s="29">
        <f t="shared" ref="T84" si="39">SUM(T6:T83)</f>
        <v>14603.311000000002</v>
      </c>
      <c r="U84" s="29">
        <f t="shared" si="34"/>
        <v>15810.903000000004</v>
      </c>
      <c r="V84" s="68">
        <f>+(U84-T84)/T84</f>
        <v>8.2693027629145349E-2</v>
      </c>
      <c r="W84" s="75">
        <f t="shared" ref="W84" si="40">SUM(W6:W83)</f>
        <v>18370.919000000002</v>
      </c>
      <c r="X84" s="29">
        <f t="shared" si="34"/>
        <v>21885.712000000007</v>
      </c>
      <c r="Y84" s="76">
        <f>+(X84-W84)/W84</f>
        <v>0.19132374379311154</v>
      </c>
      <c r="Z84" s="29">
        <f>SUM(Z6:Z83)</f>
        <v>11402.622700000002</v>
      </c>
      <c r="AA84" s="29">
        <f t="shared" si="34"/>
        <v>11189.407700000002</v>
      </c>
      <c r="AB84" s="68">
        <f>+(AA84-Z84)/Z84</f>
        <v>-1.8698768310557196E-2</v>
      </c>
      <c r="AC84" s="75">
        <f t="shared" si="24"/>
        <v>119222.62169999996</v>
      </c>
      <c r="AD84" s="77">
        <f t="shared" si="25"/>
        <v>126906.13770000002</v>
      </c>
      <c r="AE84" s="78">
        <f>SUM(AE6:AE83)</f>
        <v>479768.38709999993</v>
      </c>
      <c r="AF84" s="29">
        <f>SUM(AF6:AF83)</f>
        <v>485855.77770000062</v>
      </c>
      <c r="AG84" s="68">
        <f>+(AF84-AE84)/AE84</f>
        <v>1.2688186140809367E-2</v>
      </c>
      <c r="AH84" s="86">
        <f t="shared" si="29"/>
        <v>0.2485003699819637</v>
      </c>
      <c r="AI84" s="87">
        <f t="shared" si="30"/>
        <v>0.26120125256256649</v>
      </c>
      <c r="AK84" s="12"/>
    </row>
    <row r="85" spans="1:37" ht="15" customHeight="1" x14ac:dyDescent="0.2">
      <c r="F85" s="2"/>
    </row>
    <row r="86" spans="1:37" ht="15" customHeight="1" x14ac:dyDescent="0.2"/>
  </sheetData>
  <autoFilter ref="A5:AI84" xr:uid="{CB69C68B-3C5D-4D78-AA94-8864D2E30AF8}"/>
  <mergeCells count="13">
    <mergeCell ref="A2:AI2"/>
    <mergeCell ref="AE4:AG4"/>
    <mergeCell ref="AC4:AD4"/>
    <mergeCell ref="AH4:AI4"/>
    <mergeCell ref="B4:D4"/>
    <mergeCell ref="E4:G4"/>
    <mergeCell ref="H4:J4"/>
    <mergeCell ref="K4:M4"/>
    <mergeCell ref="N4:P4"/>
    <mergeCell ref="Q4:S4"/>
    <mergeCell ref="T4:V4"/>
    <mergeCell ref="W4:Y4"/>
    <mergeCell ref="Z4:AB4"/>
  </mergeCells>
  <pageMargins left="0" right="0" top="0" bottom="0" header="0" footer="0"/>
  <pageSetup paperSize="8" scale="51" orientation="landscape" r:id="rId1"/>
  <rowBreaks count="1" manualBreakCount="1">
    <brk id="49" max="16383" man="1"/>
  </rowBreaks>
  <colBreaks count="2" manualBreakCount="2">
    <brk id="13" max="1048575" man="1"/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Marquínez - COGERSA</dc:creator>
  <cp:lastModifiedBy>BMM</cp:lastModifiedBy>
  <cp:lastPrinted>2021-02-25T06:55:28Z</cp:lastPrinted>
  <dcterms:created xsi:type="dcterms:W3CDTF">2021-02-10T12:25:53Z</dcterms:created>
  <dcterms:modified xsi:type="dcterms:W3CDTF">2022-03-22T08:55:55Z</dcterms:modified>
</cp:coreProperties>
</file>